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0" yWindow="75" windowWidth="20730" windowHeight="6315" tabRatio="600" firstSheet="0" activeTab="0" autoFilterDateGrouping="1"/>
  </bookViews>
  <sheets>
    <sheet xmlns:r="http://schemas.openxmlformats.org/officeDocument/2006/relationships" name="ED&amp;D PBD (Blank)" sheetId="1" state="visible" r:id="rId1"/>
    <sheet xmlns:r="http://schemas.openxmlformats.org/officeDocument/2006/relationships" name="Spending Curve (Blank)" sheetId="2" state="visible" r:id="rId2"/>
    <sheet xmlns:r="http://schemas.openxmlformats.org/officeDocument/2006/relationships" name="ED&amp;D PBD (Instructions)" sheetId="3" state="visible" r:id="rId3"/>
    <sheet xmlns:r="http://schemas.openxmlformats.org/officeDocument/2006/relationships" name="ED&amp;D PBD (Example)" sheetId="4" state="visible" r:id="rId4"/>
  </sheets>
  <definedNames>
    <definedName name="_xlnm.Print_Area" localSheetId="1">'Spending Curve (Blank)'!$A$1:$O$26</definedName>
  </definedNames>
  <calcPr calcId="152511" fullCalcOnLoad="1"/>
</workbook>
</file>

<file path=xl/styles.xml><?xml version="1.0" encoding="utf-8"?>
<styleSheet xmlns="http://schemas.openxmlformats.org/spreadsheetml/2006/main">
  <numFmts count="5">
    <numFmt numFmtId="164" formatCode="_(&quot;$&quot;* #,##0_);_(&quot;$&quot;* \(#,##0\);_(&quot;$&quot;* &quot;-&quot;??_);_(@_)"/>
    <numFmt numFmtId="165" formatCode="_(&quot;$&quot;* #,##0.00_);_(&quot;$&quot;* \(#,##0.00\);_(&quot;$&quot;* &quot;-&quot;??_);_(@_)"/>
    <numFmt numFmtId="166" formatCode="&quot;€&quot;\ #,##0.00"/>
    <numFmt numFmtId="167" formatCode="&quot;€&quot;\ #,##0"/>
    <numFmt numFmtId="168" formatCode="[$€-410]\ #,##0.00"/>
  </numFmts>
  <fonts count="47">
    <font>
      <name val="Arial"/>
      <sz val="10"/>
    </font>
    <font>
      <name val="Arial"/>
      <family val="2"/>
      <sz val="10"/>
    </font>
    <font>
      <name val="Arial"/>
      <family val="2"/>
      <sz val="14"/>
    </font>
    <font>
      <name val="Arial"/>
      <family val="2"/>
      <b val="1"/>
      <sz val="11"/>
    </font>
    <font>
      <name val="Arial"/>
      <family val="2"/>
      <b val="1"/>
      <sz val="10"/>
    </font>
    <font>
      <name val="Arial"/>
      <family val="2"/>
      <b val="1"/>
      <sz val="10"/>
    </font>
    <font>
      <name val="Arial"/>
      <family val="2"/>
      <color indexed="12"/>
      <sz val="10"/>
      <u val="single"/>
    </font>
    <font>
      <name val="Arial"/>
      <family val="2"/>
      <b val="1"/>
      <i val="1"/>
      <sz val="10"/>
    </font>
    <font>
      <name val="Arial"/>
      <family val="2"/>
      <sz val="10"/>
    </font>
    <font>
      <name val="Arial"/>
      <family val="2"/>
      <b val="1"/>
      <sz val="14"/>
    </font>
    <font>
      <name val="Arial"/>
      <family val="2"/>
      <b val="1"/>
      <sz val="18"/>
    </font>
    <font>
      <name val="Arial"/>
      <family val="2"/>
      <i val="1"/>
      <color indexed="48"/>
      <sz val="11"/>
    </font>
    <font>
      <name val="Arial"/>
      <family val="2"/>
      <color indexed="48"/>
      <sz val="10"/>
    </font>
    <font>
      <name val="Arial"/>
      <family val="2"/>
      <color indexed="48"/>
      <sz val="10"/>
    </font>
    <font>
      <name val="Arial"/>
      <family val="2"/>
      <i val="1"/>
      <color indexed="48"/>
      <sz val="12"/>
    </font>
    <font>
      <name val="Arial"/>
      <family val="2"/>
      <sz val="14"/>
    </font>
    <font>
      <name val="Arial"/>
      <family val="2"/>
      <sz val="12"/>
    </font>
    <font>
      <name val="Arial"/>
      <family val="2"/>
      <sz val="14"/>
      <u val="single"/>
    </font>
    <font>
      <name val="Arial"/>
      <family val="2"/>
      <sz val="10"/>
    </font>
    <font>
      <name val="Calibri"/>
      <family val="2"/>
      <color indexed="8"/>
      <sz val="11"/>
    </font>
    <font>
      <name val="Arial"/>
      <family val="2"/>
      <b val="1"/>
      <sz val="12"/>
    </font>
    <font>
      <name val="Arial"/>
      <family val="2"/>
      <color indexed="12"/>
      <sz val="12"/>
    </font>
    <font>
      <name val="Arial"/>
      <family val="2"/>
      <sz val="11"/>
    </font>
    <font>
      <name val="Arial"/>
      <family val="2"/>
      <sz val="10"/>
    </font>
    <font>
      <name val="Calibri"/>
      <family val="2"/>
      <color theme="1"/>
      <sz val="11"/>
      <scheme val="minor"/>
    </font>
    <font>
      <name val="Tahoma"/>
      <family val="2"/>
      <color indexed="81"/>
      <sz val="9"/>
    </font>
    <font>
      <name val="Tahoma"/>
      <family val="2"/>
      <b val="1"/>
      <color indexed="81"/>
      <sz val="9"/>
    </font>
    <font>
      <name val="Arial"/>
      <family val="2"/>
      <b val="1"/>
      <color theme="0"/>
      <sz val="18"/>
    </font>
    <font>
      <name val="Arial"/>
      <family val="2"/>
      <b val="1"/>
      <color theme="0"/>
      <sz val="14"/>
    </font>
    <font>
      <name val="Arial"/>
      <family val="2"/>
      <b val="1"/>
      <color theme="0"/>
      <sz val="10"/>
    </font>
    <font>
      <name val="Arial"/>
      <family val="2"/>
      <color theme="0"/>
      <sz val="10"/>
    </font>
    <font>
      <name val="Arial"/>
      <family val="2"/>
      <b val="1"/>
      <color theme="0"/>
      <sz val="11"/>
    </font>
    <font>
      <name val="Arial"/>
      <family val="2"/>
      <color theme="0"/>
      <sz val="11"/>
    </font>
    <font>
      <name val="Arial"/>
      <family val="2"/>
      <b val="1"/>
      <color rgb="FF002060"/>
      <sz val="10"/>
    </font>
    <font>
      <name val="Arial"/>
      <family val="2"/>
      <b val="1"/>
      <color rgb="FF002060"/>
      <sz val="11"/>
    </font>
    <font>
      <name val="Arial"/>
      <family val="2"/>
      <b val="1"/>
      <color rgb="FF002060"/>
      <sz val="20"/>
    </font>
    <font>
      <name val="Arial"/>
      <family val="2"/>
      <b val="1"/>
      <i val="1"/>
      <color rgb="FF002060"/>
      <sz val="10"/>
    </font>
    <font>
      <name val="Arial"/>
      <family val="2"/>
      <i val="1"/>
      <color rgb="FF002060"/>
      <sz val="10"/>
    </font>
    <font>
      <name val="Arial"/>
      <family val="2"/>
      <color rgb="FF002060"/>
      <sz val="10"/>
    </font>
    <font>
      <name val="Arial"/>
      <family val="2"/>
      <b val="1"/>
      <i val="1"/>
      <color theme="0"/>
      <sz val="10"/>
    </font>
    <font>
      <name val="Arial"/>
      <family val="2"/>
      <i val="1"/>
      <color theme="0"/>
      <sz val="10"/>
    </font>
    <font>
      <name val="Arial"/>
      <family val="2"/>
      <b val="1"/>
      <color rgb="FFC00000"/>
      <sz val="11"/>
    </font>
    <font>
      <name val="Arial"/>
      <family val="2"/>
      <b val="1"/>
      <color rgb="FF0070C0"/>
      <sz val="11"/>
    </font>
    <font>
      <name val="Arial"/>
      <family val="2"/>
      <b val="1"/>
      <color indexed="12"/>
      <sz val="12"/>
    </font>
    <font>
      <name val="Arial"/>
      <family val="2"/>
      <b val="1"/>
      <color indexed="48"/>
      <sz val="10"/>
    </font>
    <font>
      <name val="Arial"/>
      <i val="1"/>
      <sz val="10"/>
    </font>
    <font>
      <name val="Arial"/>
      <i val="1"/>
      <color rgb="007F7F7F"/>
      <sz val="9"/>
    </font>
  </fonts>
  <fills count="10">
    <fill>
      <patternFill/>
    </fill>
    <fill>
      <patternFill patternType="gray125"/>
    </fill>
    <fill>
      <patternFill patternType="solid">
        <fgColor theme="4" tint="0.5999938962981048"/>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4"/>
        <bgColor indexed="64"/>
      </patternFill>
    </fill>
    <fill>
      <patternFill patternType="solid">
        <fgColor theme="0" tint="-0.499984740745262"/>
        <bgColor indexed="64"/>
      </patternFill>
    </fill>
    <fill>
      <patternFill patternType="solid">
        <fgColor rgb="00BDD7EE"/>
      </patternFill>
    </fill>
    <fill>
      <patternFill patternType="solid">
        <fgColor rgb="00FFF2CC"/>
      </patternFill>
    </fill>
  </fills>
  <borders count="110">
    <border>
      <left/>
      <right/>
      <top/>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style="medium">
        <color indexed="64"/>
      </top>
      <bottom/>
      <diagonal/>
    </border>
    <border>
      <left/>
      <right/>
      <top style="thin">
        <color indexed="64"/>
      </top>
      <bottom/>
      <diagonal/>
    </border>
    <border>
      <left style="thin">
        <color indexed="64"/>
      </left>
      <right/>
      <top style="medium">
        <color indexed="64"/>
      </top>
      <bottom/>
      <diagonal/>
    </border>
    <border>
      <left/>
      <right style="medium">
        <color indexed="64"/>
      </right>
      <top/>
      <bottom style="thin">
        <color indexed="64"/>
      </bottom>
      <diagonal/>
    </border>
    <border>
      <left/>
      <right/>
      <top/>
      <bottom style="thin">
        <color indexed="64"/>
      </bottom>
      <diagonal/>
    </border>
    <border>
      <left/>
      <right style="medium">
        <color indexed="64"/>
      </right>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style="hair">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bottom style="medium">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hair">
        <color indexed="64"/>
      </top>
      <bottom style="thin">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hair">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hair">
        <color indexed="64"/>
      </top>
      <bottom/>
      <diagonal/>
    </border>
    <border>
      <left/>
      <right style="medium">
        <color indexed="64"/>
      </right>
      <top style="hair">
        <color indexed="64"/>
      </top>
      <bottom/>
      <diagonal/>
    </border>
    <border>
      <left/>
      <right/>
      <top/>
      <bottom style="hair">
        <color indexed="64"/>
      </bottom>
      <diagonal/>
    </border>
    <border>
      <left/>
      <right style="medium">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5">
    <xf numFmtId="0" fontId="0" fillId="0" borderId="0"/>
    <xf numFmtId="43" fontId="19" fillId="0" borderId="0"/>
    <xf numFmtId="165" fontId="23" fillId="0" borderId="0"/>
    <xf numFmtId="0" fontId="6" fillId="0" borderId="0" applyAlignment="1" applyProtection="1">
      <alignment vertical="top"/>
      <protection locked="0" hidden="0"/>
    </xf>
    <xf numFmtId="0" fontId="24" fillId="0" borderId="0"/>
  </cellStyleXfs>
  <cellXfs count="573">
    <xf numFmtId="0" fontId="0" fillId="0" borderId="0" pivotButton="0" quotePrefix="0" xfId="0"/>
    <xf numFmtId="0" fontId="2" fillId="0" borderId="0" pivotButton="0" quotePrefix="0" xfId="0"/>
    <xf numFmtId="0" fontId="0" fillId="0" borderId="3" pivotButton="0" quotePrefix="0" xfId="0"/>
    <xf numFmtId="0" fontId="5" fillId="0" borderId="2" applyAlignment="1" pivotButton="0" quotePrefix="0" xfId="0">
      <alignment horizontal="center"/>
    </xf>
    <xf numFmtId="0" fontId="5" fillId="0" borderId="8" applyAlignment="1" pivotButton="0" quotePrefix="0" xfId="0">
      <alignment horizontal="center"/>
    </xf>
    <xf numFmtId="2" fontId="0" fillId="0" borderId="8" pivotButton="0" quotePrefix="0" xfId="0"/>
    <xf numFmtId="164" fontId="5" fillId="0" borderId="8" pivotButton="0" quotePrefix="0" xfId="2"/>
    <xf numFmtId="0" fontId="5" fillId="0" borderId="8" pivotButton="0" quotePrefix="0" xfId="0"/>
    <xf numFmtId="0" fontId="0" fillId="0" borderId="0" pivotButton="0" quotePrefix="0" xfId="0"/>
    <xf numFmtId="164" fontId="5" fillId="0" borderId="0" pivotButton="0" quotePrefix="0" xfId="2"/>
    <xf numFmtId="0" fontId="0" fillId="0" borderId="0" pivotButton="0" quotePrefix="0" xfId="0"/>
    <xf numFmtId="0" fontId="7" fillId="0" borderId="10" applyAlignment="1" pivotButton="0" quotePrefix="0" xfId="0">
      <alignment horizontal="center"/>
    </xf>
    <xf numFmtId="0" fontId="4" fillId="0" borderId="17" applyAlignment="1" pivotButton="0" quotePrefix="0" xfId="0">
      <alignment horizontal="left"/>
    </xf>
    <xf numFmtId="0" fontId="4" fillId="0" borderId="8" applyAlignment="1" pivotButton="0" quotePrefix="0" xfId="0">
      <alignment horizontal="left"/>
    </xf>
    <xf numFmtId="0" fontId="3" fillId="0" borderId="11" applyAlignment="1" pivotButton="0" quotePrefix="0" xfId="0">
      <alignment horizontal="left"/>
    </xf>
    <xf numFmtId="0" fontId="0" fillId="0" borderId="0" pivotButton="0" quotePrefix="0" xfId="0"/>
    <xf numFmtId="0" fontId="0" fillId="0" borderId="0" applyAlignment="1" pivotButton="0" quotePrefix="0" xfId="0">
      <alignment horizontal="center"/>
    </xf>
    <xf numFmtId="0" fontId="11" fillId="0" borderId="2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center"/>
    </xf>
    <xf numFmtId="0" fontId="11" fillId="0" borderId="5" applyAlignment="1" pivotButton="0" quotePrefix="0" xfId="0">
      <alignment horizontal="left"/>
    </xf>
    <xf numFmtId="0" fontId="4" fillId="0" borderId="13" applyAlignment="1" pivotButton="0" quotePrefix="0" xfId="0">
      <alignment horizontal="left"/>
    </xf>
    <xf numFmtId="0" fontId="0" fillId="0" borderId="0" applyAlignment="1" pivotButton="0" quotePrefix="0" xfId="0">
      <alignment horizontal="left"/>
    </xf>
    <xf numFmtId="0" fontId="15" fillId="0" borderId="0" pivotButton="0" quotePrefix="0" xfId="0"/>
    <xf numFmtId="0" fontId="5" fillId="0" borderId="0" pivotButton="0" quotePrefix="0" xfId="0"/>
    <xf numFmtId="0" fontId="0" fillId="2" borderId="0" applyAlignment="1" pivotButton="0" quotePrefix="0" xfId="0">
      <alignment horizontal="center"/>
    </xf>
    <xf numFmtId="0" fontId="12" fillId="2" borderId="23" applyAlignment="1" pivotButton="0" quotePrefix="0" xfId="0">
      <alignment horizontal="left"/>
    </xf>
    <xf numFmtId="1" fontId="0" fillId="2" borderId="0" applyAlignment="1" pivotButton="0" quotePrefix="0" xfId="0">
      <alignment horizontal="center"/>
    </xf>
    <xf numFmtId="0" fontId="9" fillId="0" borderId="0" applyAlignment="1" pivotButton="0" quotePrefix="0" xfId="0">
      <alignment horizontal="left"/>
    </xf>
    <xf numFmtId="0" fontId="15" fillId="0" borderId="0" pivotButton="0" quotePrefix="1" xfId="0"/>
    <xf numFmtId="0" fontId="2" fillId="0" borderId="0" pivotButton="0" quotePrefix="1" xfId="0"/>
    <xf numFmtId="0" fontId="17" fillId="0" borderId="0" pivotButton="0" quotePrefix="0" xfId="0"/>
    <xf numFmtId="0" fontId="15" fillId="0" borderId="0" pivotButton="0" quotePrefix="1" xfId="0"/>
    <xf numFmtId="0" fontId="2" fillId="0" borderId="0" pivotButton="0" quotePrefix="1" xfId="0"/>
    <xf numFmtId="0" fontId="12" fillId="2" borderId="16" applyAlignment="1" pivotButton="0" quotePrefix="0" xfId="0">
      <alignment horizontal="left"/>
    </xf>
    <xf numFmtId="0" fontId="14" fillId="0" borderId="0" pivotButton="0" quotePrefix="0" xfId="0"/>
    <xf numFmtId="0" fontId="4" fillId="0" borderId="0" pivotButton="0" quotePrefix="0" xfId="0"/>
    <xf numFmtId="0" fontId="4" fillId="0" borderId="31" pivotButton="0" quotePrefix="0" xfId="0"/>
    <xf numFmtId="0" fontId="0" fillId="0" borderId="12" pivotButton="0" quotePrefix="0" xfId="0"/>
    <xf numFmtId="0" fontId="5" fillId="0" borderId="31" pivotButton="0" quotePrefix="0" xfId="0"/>
    <xf numFmtId="0" fontId="4" fillId="0" borderId="31" pivotButton="0" quotePrefix="0" xfId="0"/>
    <xf numFmtId="0" fontId="4" fillId="0" borderId="33" pivotButton="0" quotePrefix="0" xfId="0"/>
    <xf numFmtId="0" fontId="5" fillId="0" borderId="3" pivotButton="0" quotePrefix="0" xfId="0"/>
    <xf numFmtId="0" fontId="10" fillId="0" borderId="0" applyAlignment="1" pivotButton="0" quotePrefix="0" xfId="0">
      <alignment horizontal="left"/>
    </xf>
    <xf numFmtId="0" fontId="0" fillId="0" borderId="11" pivotButton="0" quotePrefix="0" xfId="0"/>
    <xf numFmtId="0" fontId="3" fillId="0" borderId="35" applyAlignment="1" pivotButton="0" quotePrefix="0" xfId="0">
      <alignment horizontal="left"/>
    </xf>
    <xf numFmtId="0" fontId="7" fillId="0" borderId="36" applyAlignment="1" pivotButton="0" quotePrefix="0" xfId="0">
      <alignment horizontal="center"/>
    </xf>
    <xf numFmtId="0" fontId="0" fillId="2" borderId="47" pivotButton="0" quotePrefix="0" xfId="0"/>
    <xf numFmtId="0" fontId="0" fillId="2" borderId="48" pivotButton="0" quotePrefix="0" xfId="0"/>
    <xf numFmtId="0" fontId="0" fillId="4" borderId="0" pivotButton="0" quotePrefix="0" xfId="0"/>
    <xf numFmtId="0" fontId="8" fillId="4" borderId="19" pivotButton="0" quotePrefix="0" xfId="0"/>
    <xf numFmtId="0" fontId="8" fillId="4" borderId="19" applyAlignment="1" pivotButton="0" quotePrefix="0" xfId="0">
      <alignment wrapText="1"/>
    </xf>
    <xf numFmtId="0" fontId="0" fillId="4" borderId="49" pivotButton="0" quotePrefix="0" xfId="0"/>
    <xf numFmtId="0" fontId="0" fillId="4" borderId="50" pivotButton="0" quotePrefix="0" xfId="0"/>
    <xf numFmtId="0" fontId="8" fillId="4" borderId="52" pivotButton="0" quotePrefix="0" xfId="0"/>
    <xf numFmtId="0" fontId="0" fillId="4" borderId="53" pivotButton="0" quotePrefix="0" xfId="0"/>
    <xf numFmtId="0" fontId="0" fillId="4" borderId="52" pivotButton="0" quotePrefix="0" xfId="0"/>
    <xf numFmtId="0" fontId="0" fillId="4" borderId="55" pivotButton="0" quotePrefix="0" xfId="0"/>
    <xf numFmtId="0" fontId="8" fillId="4" borderId="56" pivotButton="0" quotePrefix="0" xfId="0"/>
    <xf numFmtId="0" fontId="0" fillId="4" borderId="19" pivotButton="0" quotePrefix="0" xfId="0"/>
    <xf numFmtId="0" fontId="8" fillId="4" borderId="19" applyAlignment="1" pivotButton="0" quotePrefix="0" xfId="0">
      <alignment horizontal="center" vertical="center"/>
    </xf>
    <xf numFmtId="0" fontId="8" fillId="2" borderId="24" applyAlignment="1" pivotButton="0" quotePrefix="0" xfId="0">
      <alignment horizontal="center"/>
    </xf>
    <xf numFmtId="0" fontId="0" fillId="0" borderId="31" pivotButton="0" quotePrefix="0" xfId="0"/>
    <xf numFmtId="0" fontId="20" fillId="4" borderId="31" applyAlignment="1" pivotButton="0" quotePrefix="0" xfId="0">
      <alignment horizontal="left"/>
    </xf>
    <xf numFmtId="0" fontId="0" fillId="4" borderId="12" pivotButton="0" quotePrefix="0" xfId="0"/>
    <xf numFmtId="0" fontId="16" fillId="4" borderId="31" pivotButton="0" quotePrefix="1" xfId="0"/>
    <xf numFmtId="0" fontId="9" fillId="4" borderId="12" applyAlignment="1" pivotButton="0" quotePrefix="0" xfId="0">
      <alignment horizontal="left"/>
    </xf>
    <xf numFmtId="0" fontId="15" fillId="4" borderId="12" pivotButton="0" quotePrefix="1" xfId="0"/>
    <xf numFmtId="0" fontId="2" fillId="4" borderId="12" pivotButton="0" quotePrefix="1" xfId="0"/>
    <xf numFmtId="0" fontId="15" fillId="4" borderId="12" pivotButton="0" quotePrefix="0" xfId="0"/>
    <xf numFmtId="0" fontId="16" fillId="4" borderId="31" pivotButton="0" quotePrefix="1" xfId="0"/>
    <xf numFmtId="0" fontId="17" fillId="4" borderId="12" pivotButton="0" quotePrefix="0" xfId="0"/>
    <xf numFmtId="0" fontId="15" fillId="4" borderId="12" pivotButton="0" quotePrefix="1" xfId="0"/>
    <xf numFmtId="0" fontId="2" fillId="4" borderId="12" pivotButton="0" quotePrefix="1" xfId="0"/>
    <xf numFmtId="0" fontId="16" fillId="4" borderId="33" pivotButton="0" quotePrefix="1" xfId="0"/>
    <xf numFmtId="0" fontId="15" fillId="4" borderId="59" pivotButton="0" quotePrefix="1" xfId="0"/>
    <xf numFmtId="0" fontId="0" fillId="2" borderId="61" pivotButton="0" quotePrefix="0" xfId="0"/>
    <xf numFmtId="0" fontId="0" fillId="2" borderId="24" applyAlignment="1" pivotButton="0" quotePrefix="0" xfId="0">
      <alignment horizontal="center"/>
    </xf>
    <xf numFmtId="0" fontId="0" fillId="2" borderId="24" pivotButton="0" quotePrefix="0" xfId="0"/>
    <xf numFmtId="0" fontId="0" fillId="2" borderId="16" pivotButton="0" quotePrefix="0" xfId="0"/>
    <xf numFmtId="0" fontId="0" fillId="2" borderId="29" applyAlignment="1" pivotButton="0" quotePrefix="0" xfId="0">
      <alignment horizontal="left"/>
    </xf>
    <xf numFmtId="0" fontId="0" fillId="2" borderId="60" pivotButton="0" quotePrefix="0" xfId="0"/>
    <xf numFmtId="0" fontId="3" fillId="0" borderId="63" pivotButton="0" quotePrefix="0" xfId="0"/>
    <xf numFmtId="0" fontId="0" fillId="2" borderId="29" pivotButton="0" quotePrefix="0" xfId="0"/>
    <xf numFmtId="0" fontId="0" fillId="2" borderId="30" pivotButton="0" quotePrefix="0" xfId="0"/>
    <xf numFmtId="0" fontId="4" fillId="0" borderId="21" pivotButton="0" quotePrefix="0" xfId="0"/>
    <xf numFmtId="0" fontId="3" fillId="0" borderId="19" pivotButton="0" quotePrefix="0" xfId="0"/>
    <xf numFmtId="0" fontId="0" fillId="2" borderId="48" pivotButton="0" quotePrefix="0" xfId="0"/>
    <xf numFmtId="0" fontId="0" fillId="2" borderId="64" pivotButton="0" quotePrefix="0" xfId="0"/>
    <xf numFmtId="0" fontId="4" fillId="0" borderId="65" pivotButton="0" quotePrefix="0" xfId="0"/>
    <xf numFmtId="0" fontId="8" fillId="2" borderId="29" applyAlignment="1" pivotButton="0" quotePrefix="0" xfId="0">
      <alignment horizontal="left"/>
    </xf>
    <xf numFmtId="0" fontId="8" fillId="2" borderId="47" pivotButton="0" quotePrefix="0" xfId="0"/>
    <xf numFmtId="0" fontId="8" fillId="2" borderId="60" pivotButton="0" quotePrefix="0" xfId="0"/>
    <xf numFmtId="0" fontId="8" fillId="2" borderId="48" pivotButton="0" quotePrefix="0" xfId="0"/>
    <xf numFmtId="0" fontId="8" fillId="2" borderId="27" applyAlignment="1" pivotButton="0" quotePrefix="0" xfId="0">
      <alignment horizontal="left"/>
    </xf>
    <xf numFmtId="0" fontId="0" fillId="0" borderId="11" applyAlignment="1" pivotButton="0" quotePrefix="0" xfId="0">
      <alignment horizontal="center"/>
    </xf>
    <xf numFmtId="0" fontId="4" fillId="5" borderId="0" pivotButton="0" quotePrefix="0" xfId="0"/>
    <xf numFmtId="0" fontId="0" fillId="5" borderId="0" pivotButton="0" quotePrefix="0" xfId="0"/>
    <xf numFmtId="0" fontId="28" fillId="6" borderId="32" pivotButton="0" quotePrefix="0" xfId="0"/>
    <xf numFmtId="0" fontId="29" fillId="6" borderId="7" pivotButton="0" quotePrefix="0" xfId="0"/>
    <xf numFmtId="0" fontId="30" fillId="6" borderId="7" pivotButton="0" quotePrefix="0" xfId="0"/>
    <xf numFmtId="0" fontId="30" fillId="6" borderId="14" pivotButton="0" quotePrefix="0" xfId="0"/>
    <xf numFmtId="0" fontId="28" fillId="6" borderId="31" pivotButton="0" quotePrefix="0" xfId="0"/>
    <xf numFmtId="0" fontId="29" fillId="6" borderId="0" pivotButton="0" quotePrefix="0" xfId="0"/>
    <xf numFmtId="0" fontId="30" fillId="6" borderId="0" pivotButton="0" quotePrefix="0" xfId="0"/>
    <xf numFmtId="0" fontId="30" fillId="6" borderId="12" pivotButton="0" quotePrefix="0" xfId="0"/>
    <xf numFmtId="0" fontId="31" fillId="6" borderId="45" pivotButton="0" quotePrefix="0" xfId="0"/>
    <xf numFmtId="0" fontId="31" fillId="6" borderId="43" pivotButton="0" quotePrefix="0" xfId="0"/>
    <xf numFmtId="0" fontId="31" fillId="6" borderId="44" pivotButton="0" quotePrefix="0" xfId="0"/>
    <xf numFmtId="0" fontId="31" fillId="6" borderId="45" pivotButton="0" quotePrefix="0" xfId="0"/>
    <xf numFmtId="0" fontId="31" fillId="6" borderId="43" pivotButton="0" quotePrefix="0" xfId="0"/>
    <xf numFmtId="0" fontId="30" fillId="6" borderId="43" pivotButton="0" quotePrefix="0" xfId="0"/>
    <xf numFmtId="0" fontId="31" fillId="6" borderId="46" pivotButton="0" quotePrefix="0" xfId="0"/>
    <xf numFmtId="0" fontId="28" fillId="6" borderId="18" pivotButton="0" quotePrefix="0" xfId="0"/>
    <xf numFmtId="0" fontId="31" fillId="6" borderId="45" applyAlignment="1" pivotButton="0" quotePrefix="0" xfId="0">
      <alignment horizontal="left"/>
    </xf>
    <xf numFmtId="0" fontId="32" fillId="6" borderId="62" applyAlignment="1" pivotButton="0" quotePrefix="0" xfId="0">
      <alignment horizontal="center"/>
    </xf>
    <xf numFmtId="0" fontId="31" fillId="6" borderId="43" applyAlignment="1" pivotButton="0" quotePrefix="0" xfId="0">
      <alignment horizontal="left"/>
    </xf>
    <xf numFmtId="0" fontId="31" fillId="6" borderId="44" applyAlignment="1" pivotButton="0" quotePrefix="0" xfId="0">
      <alignment horizontal="left"/>
    </xf>
    <xf numFmtId="0" fontId="33" fillId="0" borderId="19" pivotButton="0" quotePrefix="0" xfId="0"/>
    <xf numFmtId="0" fontId="36" fillId="4" borderId="8" applyAlignment="1" pivotButton="0" quotePrefix="0" xfId="0">
      <alignment horizontal="center"/>
    </xf>
    <xf numFmtId="0" fontId="37" fillId="4" borderId="36" applyAlignment="1" pivotButton="0" quotePrefix="0" xfId="0">
      <alignment horizontal="center"/>
    </xf>
    <xf numFmtId="0" fontId="36" fillId="4" borderId="11" applyAlignment="1" pivotButton="0" quotePrefix="0" xfId="0">
      <alignment horizontal="center"/>
    </xf>
    <xf numFmtId="0" fontId="36" fillId="4" borderId="10" applyAlignment="1" pivotButton="0" quotePrefix="0" xfId="0">
      <alignment horizontal="center"/>
    </xf>
    <xf numFmtId="0" fontId="4" fillId="4" borderId="21" applyAlignment="1" pivotButton="0" quotePrefix="0" xfId="0">
      <alignment horizontal="left"/>
    </xf>
    <xf numFmtId="0" fontId="33" fillId="4" borderId="19" applyAlignment="1" pivotButton="0" quotePrefix="0" xfId="0">
      <alignment wrapText="1"/>
    </xf>
    <xf numFmtId="0" fontId="34" fillId="0" borderId="8" applyAlignment="1" pivotButton="0" quotePrefix="0" xfId="0">
      <alignment horizontal="left"/>
    </xf>
    <xf numFmtId="0" fontId="38" fillId="0" borderId="8" pivotButton="0" quotePrefix="0" xfId="0"/>
    <xf numFmtId="0" fontId="36" fillId="0" borderId="11" applyAlignment="1" pivotButton="0" quotePrefix="0" xfId="0">
      <alignment horizontal="left"/>
    </xf>
    <xf numFmtId="0" fontId="38" fillId="6" borderId="38" pivotButton="0" quotePrefix="0" xfId="0"/>
    <xf numFmtId="0" fontId="37" fillId="0" borderId="4" applyAlignment="1" pivotButton="0" quotePrefix="0" xfId="0">
      <alignment horizontal="center"/>
    </xf>
    <xf numFmtId="0" fontId="37" fillId="0" borderId="11" applyAlignment="1" pivotButton="0" quotePrefix="0" xfId="0">
      <alignment horizontal="center"/>
    </xf>
    <xf numFmtId="0" fontId="36" fillId="0" borderId="41" applyAlignment="1" pivotButton="0" quotePrefix="0" xfId="0">
      <alignment horizontal="center"/>
    </xf>
    <xf numFmtId="0" fontId="37" fillId="0" borderId="1" applyAlignment="1" pivotButton="0" quotePrefix="0" xfId="0">
      <alignment horizontal="center"/>
    </xf>
    <xf numFmtId="0" fontId="37" fillId="0" borderId="5" applyAlignment="1" pivotButton="0" quotePrefix="0" xfId="0">
      <alignment horizontal="center"/>
    </xf>
    <xf numFmtId="0" fontId="39" fillId="6" borderId="9" applyAlignment="1" pivotButton="0" quotePrefix="0" xfId="0">
      <alignment horizontal="left"/>
    </xf>
    <xf numFmtId="0" fontId="39" fillId="6" borderId="7" applyAlignment="1" pivotButton="0" quotePrefix="0" xfId="0">
      <alignment horizontal="center"/>
    </xf>
    <xf numFmtId="0" fontId="40" fillId="6" borderId="6" applyAlignment="1" pivotButton="0" quotePrefix="0" xfId="0">
      <alignment horizontal="center"/>
    </xf>
    <xf numFmtId="0" fontId="39" fillId="6" borderId="7" applyAlignment="1" pivotButton="0" quotePrefix="0" xfId="0">
      <alignment horizontal="left"/>
    </xf>
    <xf numFmtId="0" fontId="33" fillId="4" borderId="96" applyAlignment="1" pivotButton="0" quotePrefix="0" xfId="0">
      <alignment horizontal="left"/>
    </xf>
    <xf numFmtId="0" fontId="8" fillId="2" borderId="30" applyAlignment="1" pivotButton="0" quotePrefix="0" xfId="0">
      <alignment horizontal="left"/>
    </xf>
    <xf numFmtId="0" fontId="29" fillId="6" borderId="14" pivotButton="0" quotePrefix="0" xfId="0"/>
    <xf numFmtId="0" fontId="29" fillId="6" borderId="12" pivotButton="0" quotePrefix="0" xfId="0"/>
    <xf numFmtId="0" fontId="4" fillId="0" borderId="2" applyAlignment="1" pivotButton="0" quotePrefix="0" xfId="0">
      <alignment horizontal="left"/>
    </xf>
    <xf numFmtId="0" fontId="12" fillId="2" borderId="60" applyAlignment="1" pivotButton="0" quotePrefix="0" xfId="0">
      <alignment horizontal="left" vertical="center"/>
    </xf>
    <xf numFmtId="0" fontId="12" fillId="2" borderId="72" applyAlignment="1" pivotButton="0" quotePrefix="0" xfId="0">
      <alignment horizontal="left" vertical="center"/>
    </xf>
    <xf numFmtId="0" fontId="4" fillId="0" borderId="74" applyAlignment="1" pivotButton="0" quotePrefix="0" xfId="0">
      <alignment horizontal="left"/>
    </xf>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12" fillId="2" borderId="60" applyAlignment="1" pivotButton="0" quotePrefix="0" xfId="0">
      <alignment horizontal="left" vertical="center"/>
    </xf>
    <xf numFmtId="0" fontId="13" fillId="2" borderId="24" applyAlignment="1" pivotButton="0" quotePrefix="0" xfId="0">
      <alignment horizontal="left" vertical="center"/>
    </xf>
    <xf numFmtId="0" fontId="13" fillId="2" borderId="16" applyAlignment="1" pivotButton="0" quotePrefix="0" xfId="0">
      <alignment horizontal="left" vertical="center"/>
    </xf>
    <xf numFmtId="0" fontId="8" fillId="4" borderId="0" applyAlignment="1" pivotButton="0" quotePrefix="0" xfId="0">
      <alignment horizontal="left"/>
    </xf>
    <xf numFmtId="0" fontId="0" fillId="4" borderId="0" pivotButton="0" quotePrefix="0" xfId="0"/>
    <xf numFmtId="0" fontId="0" fillId="4" borderId="0" applyAlignment="1" pivotButton="0" quotePrefix="0" xfId="0">
      <alignment horizontal="center"/>
    </xf>
    <xf numFmtId="42" fontId="23" fillId="4" borderId="0" applyAlignment="1" pivotButton="0" quotePrefix="0" xfId="2">
      <alignment horizontal="center"/>
    </xf>
    <xf numFmtId="165" fontId="0" fillId="4" borderId="0" pivotButton="0" quotePrefix="0" xfId="2"/>
    <xf numFmtId="0" fontId="41" fillId="0" borderId="8" applyAlignment="1" pivotButton="0" quotePrefix="0" xfId="0">
      <alignment horizontal="left"/>
    </xf>
    <xf numFmtId="0" fontId="41" fillId="0" borderId="37" applyAlignment="1" pivotButton="0" quotePrefix="0" xfId="0">
      <alignment horizontal="left"/>
    </xf>
    <xf numFmtId="0" fontId="0" fillId="0" borderId="0" pivotButton="0" quotePrefix="0" xfId="0"/>
    <xf numFmtId="0" fontId="31" fillId="4" borderId="0" pivotButton="0" quotePrefix="0" xfId="0"/>
    <xf numFmtId="0" fontId="28" fillId="4" borderId="0" pivotButton="0" quotePrefix="0" xfId="0"/>
    <xf numFmtId="0" fontId="30" fillId="4" borderId="0" pivotButton="0" quotePrefix="0" xfId="0"/>
    <xf numFmtId="0" fontId="42" fillId="0" borderId="37" applyAlignment="1" pivotButton="0" quotePrefix="0" xfId="0">
      <alignment horizontal="left"/>
    </xf>
    <xf numFmtId="0" fontId="42" fillId="0" borderId="8" applyAlignment="1" pivotButton="0" quotePrefix="0" xfId="0">
      <alignment horizontal="left"/>
    </xf>
    <xf numFmtId="0" fontId="16" fillId="4" borderId="31" pivotButton="0" quotePrefix="0" xfId="0"/>
    <xf numFmtId="166" fontId="18" fillId="2" borderId="0" pivotButton="0" quotePrefix="0" xfId="2"/>
    <xf numFmtId="166" fontId="18" fillId="2" borderId="24" pivotButton="0" quotePrefix="0" xfId="2"/>
    <xf numFmtId="166" fontId="0" fillId="0" borderId="2" pivotButton="0" quotePrefix="0" xfId="0"/>
    <xf numFmtId="167" fontId="0" fillId="0" borderId="42" pivotButton="0" quotePrefix="0" xfId="0"/>
    <xf numFmtId="167" fontId="0" fillId="0" borderId="39" pivotButton="0" quotePrefix="0" xfId="0"/>
    <xf numFmtId="168" fontId="0" fillId="2" borderId="26" applyAlignment="1" pivotButton="0" quotePrefix="0" xfId="0">
      <alignment horizontal="center"/>
    </xf>
    <xf numFmtId="168" fontId="33" fillId="4" borderId="86" applyAlignment="1" pivotButton="0" quotePrefix="0" xfId="0">
      <alignment horizontal="center"/>
    </xf>
    <xf numFmtId="168" fontId="0" fillId="2" borderId="24" applyAlignment="1" pivotButton="0" quotePrefix="0" xfId="0">
      <alignment horizontal="center"/>
    </xf>
    <xf numFmtId="168" fontId="4" fillId="4" borderId="2" applyAlignment="1" pivotButton="0" quotePrefix="0" xfId="0">
      <alignment horizontal="center"/>
    </xf>
    <xf numFmtId="168" fontId="0" fillId="2" borderId="25" pivotButton="0" quotePrefix="0" xfId="0"/>
    <xf numFmtId="168" fontId="8" fillId="2" borderId="29" pivotButton="0" quotePrefix="0" xfId="0"/>
    <xf numFmtId="168" fontId="0" fillId="2" borderId="24" pivotButton="0" quotePrefix="0" xfId="0"/>
    <xf numFmtId="168" fontId="36" fillId="0" borderId="11" applyAlignment="1" pivotButton="0" quotePrefix="0" xfId="0">
      <alignment horizontal="left"/>
    </xf>
    <xf numFmtId="168" fontId="0" fillId="0" borderId="11" pivotButton="0" quotePrefix="0" xfId="0"/>
    <xf numFmtId="168" fontId="0" fillId="0" borderId="11" applyAlignment="1" pivotButton="0" quotePrefix="0" xfId="0">
      <alignment horizontal="center"/>
    </xf>
    <xf numFmtId="168" fontId="7" fillId="0" borderId="10" applyAlignment="1" pivotButton="0" quotePrefix="0" xfId="0">
      <alignment horizontal="center"/>
    </xf>
    <xf numFmtId="168" fontId="0" fillId="2" borderId="30" pivotButton="0" quotePrefix="0" xfId="0"/>
    <xf numFmtId="168" fontId="0" fillId="2" borderId="26" pivotButton="0" quotePrefix="0" xfId="0"/>
    <xf numFmtId="164" fontId="5" fillId="0" borderId="0" pivotButton="0" quotePrefix="0" xfId="2"/>
    <xf numFmtId="168" fontId="3" fillId="0" borderId="11" applyAlignment="1" pivotButton="0" quotePrefix="0" xfId="0">
      <alignment horizontal="left"/>
    </xf>
    <xf numFmtId="168" fontId="12" fillId="2" borderId="25" applyAlignment="1" pivotButton="0" quotePrefix="0" xfId="0">
      <alignment horizontal="left" vertical="center"/>
    </xf>
    <xf numFmtId="168" fontId="12" fillId="2" borderId="28" applyAlignment="1" pivotButton="0" quotePrefix="0" xfId="0">
      <alignment horizontal="left" vertical="center"/>
    </xf>
    <xf numFmtId="168" fontId="13" fillId="2" borderId="24" applyAlignment="1" pivotButton="0" quotePrefix="0" xfId="0">
      <alignment horizontal="left" vertical="center"/>
    </xf>
    <xf numFmtId="168" fontId="13" fillId="2" borderId="16" applyAlignment="1" pivotButton="0" quotePrefix="0" xfId="0">
      <alignment horizontal="left" vertical="center"/>
    </xf>
    <xf numFmtId="168" fontId="4" fillId="0" borderId="2" applyAlignment="1" pivotButton="0" quotePrefix="0" xfId="0">
      <alignment horizontal="left"/>
    </xf>
    <xf numFmtId="168" fontId="0" fillId="0" borderId="2" pivotButton="0" quotePrefix="0" xfId="0"/>
    <xf numFmtId="0" fontId="1" fillId="2" borderId="60" pivotButton="0" quotePrefix="0" xfId="0"/>
    <xf numFmtId="0" fontId="1" fillId="2" borderId="48" pivotButton="0" quotePrefix="0" xfId="0"/>
    <xf numFmtId="168" fontId="1" fillId="2" borderId="27" applyAlignment="1" pivotButton="0" quotePrefix="0" xfId="0">
      <alignment horizontal="left"/>
    </xf>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12" fillId="2" borderId="60" applyAlignment="1" pivotButton="0" quotePrefix="0" xfId="0">
      <alignment horizontal="left" vertical="center"/>
    </xf>
    <xf numFmtId="0" fontId="13" fillId="2" borderId="24" applyAlignment="1" pivotButton="0" quotePrefix="0" xfId="0">
      <alignment horizontal="left" vertical="center"/>
    </xf>
    <xf numFmtId="0" fontId="13" fillId="2" borderId="16" applyAlignment="1" pivotButton="0" quotePrefix="0" xfId="0">
      <alignment horizontal="left" vertical="center"/>
    </xf>
    <xf numFmtId="168" fontId="4" fillId="0" borderId="2" applyAlignment="1" pivotButton="0" quotePrefix="0" xfId="0">
      <alignment horizontal="left"/>
    </xf>
    <xf numFmtId="168" fontId="0" fillId="0" borderId="2" pivotButton="0" quotePrefix="0" xfId="0"/>
    <xf numFmtId="0" fontId="0" fillId="2" borderId="60" pivotButton="0" quotePrefix="0" xfId="0"/>
    <xf numFmtId="0" fontId="0" fillId="2" borderId="24" pivotButton="0" quotePrefix="0" xfId="0"/>
    <xf numFmtId="0" fontId="0" fillId="2" borderId="16" pivotButton="0" quotePrefix="0" xfId="0"/>
    <xf numFmtId="0" fontId="0" fillId="2" borderId="24" applyAlignment="1" pivotButton="0" quotePrefix="0" xfId="0">
      <alignment horizontal="center"/>
    </xf>
    <xf numFmtId="0" fontId="8" fillId="2" borderId="29" applyAlignment="1" pivotButton="0" quotePrefix="0" xfId="0">
      <alignment horizontal="left"/>
    </xf>
    <xf numFmtId="0" fontId="0" fillId="2" borderId="29" applyAlignment="1" pivotButton="0" quotePrefix="0" xfId="0">
      <alignment horizontal="left"/>
    </xf>
    <xf numFmtId="0" fontId="4" fillId="0" borderId="74" applyAlignment="1" pivotButton="0" quotePrefix="0" xfId="0">
      <alignment horizontal="left"/>
    </xf>
    <xf numFmtId="0" fontId="4" fillId="0" borderId="2" applyAlignment="1" pivotButton="0" quotePrefix="0" xfId="0">
      <alignment horizontal="left"/>
    </xf>
    <xf numFmtId="0" fontId="4" fillId="0" borderId="13" applyAlignment="1" pivotButton="0" quotePrefix="0" xfId="0">
      <alignment horizontal="left"/>
    </xf>
    <xf numFmtId="0" fontId="31" fillId="7" borderId="45" pivotButton="0" quotePrefix="0" xfId="0"/>
    <xf numFmtId="0" fontId="31" fillId="7" borderId="43" pivotButton="0" quotePrefix="0" xfId="0"/>
    <xf numFmtId="0" fontId="31" fillId="7" borderId="44" pivotButton="0" quotePrefix="0" xfId="0"/>
    <xf numFmtId="0" fontId="36" fillId="0" borderId="0" applyAlignment="1" pivotButton="0" quotePrefix="0" xfId="0">
      <alignment horizont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167" fontId="5" fillId="0" borderId="40" pivotButton="0" quotePrefix="0" xfId="2"/>
    <xf numFmtId="168" fontId="5" fillId="0" borderId="92" pivotButton="0" quotePrefix="0" xfId="2"/>
    <xf numFmtId="3" fontId="0" fillId="2" borderId="25" applyAlignment="1" pivotButton="0" quotePrefix="0" xfId="0">
      <alignment horizontal="center"/>
    </xf>
    <xf numFmtId="3" fontId="0" fillId="2" borderId="26" applyAlignment="1" pivotButton="0" quotePrefix="0" xfId="0">
      <alignment horizontal="center"/>
    </xf>
    <xf numFmtId="0" fontId="34" fillId="0" borderId="37" applyAlignment="1" pivotButton="0" quotePrefix="0" xfId="0">
      <alignment horizontal="left"/>
    </xf>
    <xf numFmtId="167" fontId="0" fillId="0" borderId="4" pivotButton="0" quotePrefix="0" xfId="2"/>
    <xf numFmtId="167" fontId="0" fillId="0" borderId="16" pivotButton="0" quotePrefix="0" xfId="2"/>
    <xf numFmtId="167" fontId="5" fillId="0" borderId="13" pivotButton="0" quotePrefix="0" xfId="2"/>
    <xf numFmtId="167" fontId="0" fillId="2" borderId="28" applyAlignment="1" pivotButton="0" quotePrefix="0" xfId="0">
      <alignment horizontal="center"/>
    </xf>
    <xf numFmtId="167" fontId="0" fillId="0" borderId="12" pivotButton="0" quotePrefix="0" xfId="2"/>
    <xf numFmtId="167" fontId="8" fillId="2" borderId="16" applyAlignment="1" pivotButton="0" quotePrefix="0" xfId="2">
      <alignment horizontal="right"/>
    </xf>
    <xf numFmtId="167" fontId="0" fillId="0" borderId="15" pivotButton="0" quotePrefix="0" xfId="2"/>
    <xf numFmtId="167" fontId="0" fillId="0" borderId="11" applyAlignment="1" pivotButton="0" quotePrefix="0" xfId="0">
      <alignment horizontal="center"/>
    </xf>
    <xf numFmtId="167" fontId="7" fillId="0" borderId="10" applyAlignment="1" pivotButton="0" quotePrefix="0" xfId="0">
      <alignment horizontal="center"/>
    </xf>
    <xf numFmtId="167" fontId="23" fillId="2" borderId="66" applyAlignment="1" pivotButton="0" quotePrefix="0" xfId="2">
      <alignment horizontal="center"/>
    </xf>
    <xf numFmtId="167" fontId="0" fillId="0" borderId="58" pivotButton="0" quotePrefix="0" xfId="2"/>
    <xf numFmtId="167" fontId="0" fillId="0" borderId="13" pivotButton="0" quotePrefix="0" xfId="0"/>
    <xf numFmtId="167" fontId="5" fillId="0" borderId="92" pivotButton="0" quotePrefix="0" xfId="2"/>
    <xf numFmtId="167" fontId="18" fillId="2" borderId="25" pivotButton="0" quotePrefix="0" xfId="2"/>
    <xf numFmtId="167" fontId="0" fillId="0" borderId="42" pivotButton="0" quotePrefix="0" xfId="2"/>
    <xf numFmtId="167" fontId="18" fillId="2" borderId="26" pivotButton="0" quotePrefix="0" xfId="2"/>
    <xf numFmtId="167" fontId="33" fillId="4" borderId="86" pivotButton="0" quotePrefix="0" xfId="2"/>
    <xf numFmtId="167" fontId="33" fillId="4" borderId="97" pivotButton="0" quotePrefix="0" xfId="2"/>
    <xf numFmtId="167" fontId="18" fillId="2" borderId="24" pivotButton="0" quotePrefix="0" xfId="2"/>
    <xf numFmtId="167" fontId="0" fillId="0" borderId="39" pivotButton="0" quotePrefix="0" xfId="2"/>
    <xf numFmtId="167" fontId="4" fillId="4" borderId="2" pivotButton="0" quotePrefix="0" xfId="0"/>
    <xf numFmtId="167" fontId="0" fillId="0" borderId="0" pivotButton="0" quotePrefix="0" xfId="0"/>
    <xf numFmtId="167" fontId="4" fillId="0" borderId="34" pivotButton="0" quotePrefix="0" xfId="2"/>
    <xf numFmtId="0" fontId="44" fillId="2" borderId="22" applyAlignment="1" pivotButton="0" quotePrefix="0" xfId="0">
      <alignment horizontal="left"/>
    </xf>
    <xf numFmtId="0" fontId="44" fillId="2" borderId="23" applyAlignment="1" pivotButton="0" quotePrefix="0" xfId="0">
      <alignment horizontal="left"/>
    </xf>
    <xf numFmtId="14" fontId="44" fillId="2" borderId="4" applyAlignment="1" pivotButton="0" quotePrefix="0" xfId="0">
      <alignment horizontal="left"/>
    </xf>
    <xf numFmtId="14" fontId="44" fillId="2" borderId="16" applyAlignment="1" pivotButton="0" quotePrefix="0" xfId="0">
      <alignment horizontal="left"/>
    </xf>
    <xf numFmtId="2" fontId="4" fillId="2" borderId="27" pivotButton="0" quotePrefix="0" xfId="0"/>
    <xf numFmtId="0" fontId="4" fillId="2" borderId="47" pivotButton="0" quotePrefix="0" xfId="0"/>
    <xf numFmtId="2" fontId="4" fillId="2" borderId="29" pivotButton="0" quotePrefix="0" xfId="0"/>
    <xf numFmtId="0" fontId="4" fillId="2" borderId="48" pivotButton="0" quotePrefix="0" xfId="0"/>
    <xf numFmtId="0" fontId="4" fillId="2" borderId="29" pivotButton="0" quotePrefix="0" xfId="0"/>
    <xf numFmtId="0" fontId="4" fillId="2" borderId="24" applyAlignment="1" pivotButton="0" quotePrefix="0" xfId="0">
      <alignment horizontal="center"/>
    </xf>
    <xf numFmtId="1" fontId="4" fillId="2" borderId="0" applyAlignment="1" pivotButton="0" quotePrefix="0" xfId="0">
      <alignment horizontal="center"/>
    </xf>
    <xf numFmtId="168" fontId="4" fillId="0" borderId="2" applyAlignment="1" pivotButton="0" quotePrefix="0" xfId="0">
      <alignment horizontal="left"/>
    </xf>
    <xf numFmtId="168" fontId="0" fillId="0" borderId="2" pivotButton="0" quotePrefix="0" xfId="0"/>
    <xf numFmtId="0" fontId="0" fillId="2" borderId="60" pivotButton="0" quotePrefix="0" xfId="0"/>
    <xf numFmtId="0" fontId="0" fillId="2" borderId="24" pivotButton="0" quotePrefix="0" xfId="0"/>
    <xf numFmtId="0" fontId="0" fillId="2" borderId="16" pivotButton="0" quotePrefix="0" xfId="0"/>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12" fillId="2" borderId="60" applyAlignment="1" pivotButton="0" quotePrefix="0" xfId="0">
      <alignment horizontal="left" vertical="center"/>
    </xf>
    <xf numFmtId="0" fontId="2" fillId="0" borderId="0" pivotButton="0" quotePrefix="0" xfId="0"/>
    <xf numFmtId="0" fontId="2" fillId="4" borderId="12" pivotButton="0" quotePrefix="0" xfId="0"/>
    <xf numFmtId="0" fontId="2" fillId="4" borderId="59" pivotButton="0" quotePrefix="1" xfId="0"/>
    <xf numFmtId="0" fontId="4" fillId="0" borderId="3" pivotButton="0" quotePrefix="0" xfId="0"/>
    <xf numFmtId="166" fontId="1" fillId="2" borderId="0" pivotButton="0" quotePrefix="0" xfId="2"/>
    <xf numFmtId="166" fontId="1" fillId="2" borderId="24" pivotButton="0" quotePrefix="0" xfId="2"/>
    <xf numFmtId="0" fontId="1" fillId="2" borderId="24" applyAlignment="1" pivotButton="0" quotePrefix="0" xfId="0">
      <alignment horizontal="center"/>
    </xf>
    <xf numFmtId="0" fontId="4" fillId="0" borderId="2" applyAlignment="1" pivotButton="0" quotePrefix="0" xfId="0">
      <alignment horizontal="center"/>
    </xf>
    <xf numFmtId="167" fontId="4" fillId="0" borderId="13" pivotButton="0" quotePrefix="0" xfId="2"/>
    <xf numFmtId="167" fontId="4" fillId="0" borderId="40" pivotButton="0" quotePrefix="0" xfId="2"/>
    <xf numFmtId="0" fontId="4" fillId="0" borderId="8" applyAlignment="1" pivotButton="0" quotePrefix="0" xfId="0">
      <alignment horizontal="center"/>
    </xf>
    <xf numFmtId="164" fontId="4" fillId="0" borderId="8" pivotButton="0" quotePrefix="0" xfId="2"/>
    <xf numFmtId="0" fontId="4" fillId="0" borderId="8" pivotButton="0" quotePrefix="0" xfId="0"/>
    <xf numFmtId="164" fontId="4" fillId="0" borderId="0" pivotButton="0" quotePrefix="0" xfId="2"/>
    <xf numFmtId="0" fontId="4" fillId="0" borderId="0" applyAlignment="1" pivotButton="0" quotePrefix="0" xfId="0">
      <alignment horizontal="center"/>
    </xf>
    <xf numFmtId="0" fontId="1" fillId="2" borderId="27" applyAlignment="1" pivotButton="0" quotePrefix="0" xfId="0">
      <alignment horizontal="left"/>
    </xf>
    <xf numFmtId="167" fontId="1" fillId="2" borderId="25" pivotButton="0" quotePrefix="0" xfId="2"/>
    <xf numFmtId="0" fontId="1" fillId="2" borderId="30" applyAlignment="1" pivotButton="0" quotePrefix="0" xfId="0">
      <alignment horizontal="left"/>
    </xf>
    <xf numFmtId="167" fontId="1" fillId="2" borderId="26" pivotButton="0" quotePrefix="0" xfId="2"/>
    <xf numFmtId="168" fontId="1" fillId="2" borderId="29" pivotButton="0" quotePrefix="0" xfId="0"/>
    <xf numFmtId="167" fontId="1" fillId="2" borderId="16" applyAlignment="1" pivotButton="0" quotePrefix="0" xfId="2">
      <alignment horizontal="right"/>
    </xf>
    <xf numFmtId="0" fontId="1" fillId="2" borderId="29" applyAlignment="1" pivotButton="0" quotePrefix="0" xfId="0">
      <alignment horizontal="left"/>
    </xf>
    <xf numFmtId="167" fontId="1" fillId="2" borderId="24" pivotButton="0" quotePrefix="0" xfId="2"/>
    <xf numFmtId="0" fontId="12" fillId="2" borderId="24" applyAlignment="1" pivotButton="0" quotePrefix="0" xfId="0">
      <alignment horizontal="left" vertical="center"/>
    </xf>
    <xf numFmtId="0" fontId="12" fillId="2" borderId="16" applyAlignment="1" pivotButton="0" quotePrefix="0" xfId="0">
      <alignment horizontal="left" vertical="center"/>
    </xf>
    <xf numFmtId="167" fontId="1" fillId="2" borderId="66" applyAlignment="1" pivotButton="0" quotePrefix="0" xfId="2">
      <alignment horizontal="center"/>
    </xf>
    <xf numFmtId="168" fontId="4" fillId="0" borderId="92" pivotButton="0" quotePrefix="0" xfId="2"/>
    <xf numFmtId="164" fontId="4" fillId="0" borderId="0" pivotButton="0" quotePrefix="0" xfId="2"/>
    <xf numFmtId="0" fontId="1" fillId="4" borderId="0" applyAlignment="1" pivotButton="0" quotePrefix="0" xfId="0">
      <alignment horizontal="left"/>
    </xf>
    <xf numFmtId="42" fontId="1" fillId="4" borderId="0" applyAlignment="1" pivotButton="0" quotePrefix="0" xfId="2">
      <alignment horizontal="center"/>
    </xf>
    <xf numFmtId="168" fontId="12" fillId="2" borderId="24" applyAlignment="1" pivotButton="0" quotePrefix="0" xfId="0">
      <alignment horizontal="left" vertical="center"/>
    </xf>
    <xf numFmtId="168" fontId="12" fillId="2" borderId="16" applyAlignment="1" pivotButton="0" quotePrefix="0" xfId="0">
      <alignment horizontal="left" vertical="center"/>
    </xf>
    <xf numFmtId="167" fontId="4" fillId="0" borderId="92" pivotButton="0" quotePrefix="0" xfId="2"/>
    <xf numFmtId="0" fontId="1" fillId="2" borderId="47" pivotButton="0" quotePrefix="0" xfId="0"/>
    <xf numFmtId="167" fontId="18" fillId="4" borderId="50" pivotButton="0" quotePrefix="0" xfId="2"/>
    <xf numFmtId="167" fontId="18" fillId="4" borderId="51" pivotButton="0" quotePrefix="0" xfId="2"/>
    <xf numFmtId="167" fontId="18" fillId="4" borderId="53" pivotButton="0" quotePrefix="0" xfId="2"/>
    <xf numFmtId="167" fontId="18" fillId="4" borderId="54" pivotButton="0" quotePrefix="0" xfId="2"/>
    <xf numFmtId="167" fontId="18" fillId="4" borderId="56" pivotButton="0" quotePrefix="0" xfId="2"/>
    <xf numFmtId="167" fontId="18" fillId="4" borderId="57" pivotButton="0" quotePrefix="0" xfId="2"/>
    <xf numFmtId="167" fontId="8" fillId="4" borderId="19" pivotButton="0" quotePrefix="0" xfId="0"/>
    <xf numFmtId="167" fontId="8" fillId="4" borderId="19" pivotButton="0" quotePrefix="0" xfId="2"/>
    <xf numFmtId="0" fontId="21" fillId="4" borderId="31" applyAlignment="1" pivotButton="0" quotePrefix="1" xfId="3">
      <alignment horizontal="left" vertical="center" wrapText="1"/>
    </xf>
    <xf numFmtId="0" fontId="21" fillId="4" borderId="0" applyAlignment="1" pivotButton="0" quotePrefix="1" xfId="3">
      <alignment horizontal="left" vertical="center" wrapText="1"/>
    </xf>
    <xf numFmtId="0" fontId="21" fillId="4" borderId="12" applyAlignment="1" pivotButton="0" quotePrefix="1" xfId="3">
      <alignment horizontal="left" vertical="center" wrapText="1"/>
    </xf>
    <xf numFmtId="0" fontId="21" fillId="2" borderId="24" applyAlignment="1" pivotButton="0" quotePrefix="0" xfId="3">
      <alignment horizontal="center"/>
    </xf>
    <xf numFmtId="0" fontId="21" fillId="2" borderId="15" applyAlignment="1" pivotButton="0" quotePrefix="0" xfId="3">
      <alignment horizontal="center"/>
    </xf>
    <xf numFmtId="0" fontId="27" fillId="6" borderId="32" applyAlignment="1" pivotButton="0" quotePrefix="0" xfId="0">
      <alignment horizontal="left" vertical="center" wrapText="1"/>
    </xf>
    <xf numFmtId="0" fontId="27" fillId="6" borderId="14" applyAlignment="1" pivotButton="0" quotePrefix="0" xfId="0">
      <alignment horizontal="left" vertical="center" wrapText="1"/>
    </xf>
    <xf numFmtId="0" fontId="27" fillId="6" borderId="31" applyAlignment="1" pivotButton="0" quotePrefix="0" xfId="0">
      <alignment horizontal="left" vertical="center" wrapText="1"/>
    </xf>
    <xf numFmtId="0" fontId="27" fillId="6" borderId="12" applyAlignment="1" pivotButton="0" quotePrefix="0" xfId="0">
      <alignment horizontal="left" vertical="center" wrapText="1"/>
    </xf>
    <xf numFmtId="0" fontId="21" fillId="2" borderId="86" applyAlignment="1" pivotButton="0" quotePrefix="0" xfId="3">
      <alignment horizontal="center"/>
    </xf>
    <xf numFmtId="0" fontId="21" fillId="2" borderId="87" applyAlignment="1" pivotButton="0" quotePrefix="0" xfId="3">
      <alignment horizontal="center"/>
    </xf>
    <xf numFmtId="0" fontId="21" fillId="2" borderId="31" applyAlignment="1" pivotButton="0" quotePrefix="0" xfId="3">
      <alignment horizontal="left" vertical="center" wrapText="1"/>
    </xf>
    <xf numFmtId="0" fontId="21" fillId="2" borderId="0" applyAlignment="1" pivotButton="0" quotePrefix="1" xfId="3">
      <alignment horizontal="left" vertical="center" wrapText="1"/>
    </xf>
    <xf numFmtId="0" fontId="21" fillId="2" borderId="12" applyAlignment="1" pivotButton="0" quotePrefix="1" xfId="3">
      <alignment horizontal="left" vertical="center" wrapText="1"/>
    </xf>
    <xf numFmtId="0" fontId="43" fillId="4" borderId="31" applyAlignment="1" pivotButton="0" quotePrefix="1" xfId="3">
      <alignment horizontal="left" vertical="center" wrapText="1"/>
    </xf>
    <xf numFmtId="0" fontId="43" fillId="4" borderId="0" applyAlignment="1" pivotButton="0" quotePrefix="1" xfId="3">
      <alignment horizontal="left" vertical="center" wrapText="1"/>
    </xf>
    <xf numFmtId="0" fontId="43" fillId="4" borderId="12" applyAlignment="1" pivotButton="0" quotePrefix="1" xfId="3">
      <alignment horizontal="left" vertical="center" wrapText="1"/>
    </xf>
    <xf numFmtId="2" fontId="16" fillId="3" borderId="31" applyAlignment="1" pivotButton="0" quotePrefix="0" xfId="0">
      <alignment horizontal="left" vertical="center" wrapText="1"/>
    </xf>
    <xf numFmtId="2" fontId="16" fillId="3" borderId="0" applyAlignment="1" pivotButton="0" quotePrefix="0" xfId="0">
      <alignment horizontal="left" vertical="center" wrapText="1"/>
    </xf>
    <xf numFmtId="0" fontId="21" fillId="4" borderId="31" applyAlignment="1" pivotButton="0" quotePrefix="0" xfId="3">
      <alignment horizontal="left" vertical="center" wrapText="1"/>
    </xf>
    <xf numFmtId="0" fontId="0" fillId="4" borderId="31" applyAlignment="1" pivotButton="0" quotePrefix="0" xfId="0">
      <alignment horizontal="left" vertical="center" wrapText="1"/>
    </xf>
    <xf numFmtId="0" fontId="0" fillId="4" borderId="0"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33" applyAlignment="1" pivotButton="0" quotePrefix="0" xfId="0">
      <alignment horizontal="left" vertical="center" wrapText="1"/>
    </xf>
    <xf numFmtId="0" fontId="0" fillId="4" borderId="3" applyAlignment="1" pivotButton="0" quotePrefix="0" xfId="0">
      <alignment horizontal="left" vertical="center" wrapText="1"/>
    </xf>
    <xf numFmtId="0" fontId="0" fillId="4" borderId="59" applyAlignment="1" pivotButton="0" quotePrefix="0" xfId="0">
      <alignment horizontal="left" vertical="center" wrapText="1"/>
    </xf>
    <xf numFmtId="0" fontId="21" fillId="2" borderId="84" applyAlignment="1" pivotButton="0" quotePrefix="0" xfId="3">
      <alignment horizontal="center"/>
    </xf>
    <xf numFmtId="0" fontId="21" fillId="2" borderId="85" applyAlignment="1" pivotButton="0" quotePrefix="0" xfId="3">
      <alignment horizontal="center"/>
    </xf>
    <xf numFmtId="0" fontId="21" fillId="2" borderId="68" applyAlignment="1" pivotButton="0" quotePrefix="0" xfId="3">
      <alignment horizontal="center"/>
    </xf>
    <xf numFmtId="0" fontId="21" fillId="2" borderId="71" applyAlignment="1" pivotButton="0" quotePrefix="0" xfId="3">
      <alignment horizontal="center"/>
    </xf>
    <xf numFmtId="0" fontId="31" fillId="6" borderId="79" applyAlignment="1" pivotButton="0" quotePrefix="0" xfId="0">
      <alignment horizontal="left" vertical="center"/>
    </xf>
    <xf numFmtId="0" fontId="31" fillId="6" borderId="80" applyAlignment="1" pivotButton="0" quotePrefix="0" xfId="0">
      <alignment horizontal="left" vertical="center"/>
    </xf>
    <xf numFmtId="0" fontId="31" fillId="6" borderId="81" applyAlignment="1" pivotButton="0" quotePrefix="0" xfId="0">
      <alignment horizontal="center" vertical="center" wrapText="1"/>
    </xf>
    <xf numFmtId="0" fontId="31" fillId="6" borderId="82" applyAlignment="1" pivotButton="0" quotePrefix="0" xfId="0">
      <alignment horizontal="center" vertical="center" wrapText="1"/>
    </xf>
    <xf numFmtId="0" fontId="0" fillId="2" borderId="60" applyAlignment="1" pivotButton="0" quotePrefix="0" xfId="0">
      <alignment horizontal="left"/>
    </xf>
    <xf numFmtId="0" fontId="0" fillId="2" borderId="24" applyAlignment="1" pivotButton="0" quotePrefix="0" xfId="0">
      <alignment horizontal="left"/>
    </xf>
    <xf numFmtId="0" fontId="0" fillId="2" borderId="16" applyAlignment="1" pivotButton="0" quotePrefix="0" xfId="0">
      <alignment horizontal="left"/>
    </xf>
    <xf numFmtId="168" fontId="4" fillId="0" borderId="2" applyAlignment="1" pivotButton="0" quotePrefix="0" xfId="0">
      <alignment horizontal="left"/>
    </xf>
    <xf numFmtId="168" fontId="0" fillId="0" borderId="2" pivotButton="0" quotePrefix="0" xfId="0"/>
    <xf numFmtId="168" fontId="0" fillId="0" borderId="13" pivotButton="0" quotePrefix="0" xfId="0"/>
    <xf numFmtId="0" fontId="34" fillId="4" borderId="35" applyAlignment="1" pivotButton="0" quotePrefix="1" xfId="0">
      <alignment horizontal="left" vertical="center" wrapText="1"/>
    </xf>
    <xf numFmtId="0" fontId="34" fillId="4" borderId="37" applyAlignment="1" pivotButton="0" quotePrefix="1" xfId="0">
      <alignment horizontal="left" vertical="center" wrapText="1"/>
    </xf>
    <xf numFmtId="0" fontId="35" fillId="4" borderId="83" applyAlignment="1" pivotButton="0" quotePrefix="0" xfId="0">
      <alignment horizontal="center" vertical="center"/>
    </xf>
    <xf numFmtId="0" fontId="35" fillId="4" borderId="82" applyAlignment="1" pivotButton="0" quotePrefix="0" xfId="0">
      <alignment horizontal="center" vertical="center"/>
    </xf>
    <xf numFmtId="0" fontId="8" fillId="2" borderId="72" applyAlignment="1" pivotButton="0" quotePrefix="0" xfId="0">
      <alignment horizontal="left"/>
    </xf>
    <xf numFmtId="0" fontId="0" fillId="2" borderId="25" applyAlignment="1" pivotButton="0" quotePrefix="0" xfId="0">
      <alignment horizontal="left"/>
    </xf>
    <xf numFmtId="0" fontId="0" fillId="2" borderId="28" applyAlignment="1" pivotButton="0" quotePrefix="0" xfId="0">
      <alignment horizontal="left"/>
    </xf>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8" fillId="2" borderId="78" applyAlignment="1" pivotButton="0" quotePrefix="0" xfId="0">
      <alignment horizontal="left"/>
    </xf>
    <xf numFmtId="0" fontId="0" fillId="2" borderId="26" applyAlignment="1" pivotButton="0" quotePrefix="0" xfId="0">
      <alignment horizontal="left"/>
    </xf>
    <xf numFmtId="0" fontId="0" fillId="2" borderId="66" applyAlignment="1" pivotButton="0" quotePrefix="0" xfId="0">
      <alignment horizontal="left"/>
    </xf>
    <xf numFmtId="0" fontId="12" fillId="2" borderId="60" applyAlignment="1" pivotButton="0" quotePrefix="0" xfId="0">
      <alignment horizontal="left" vertical="center"/>
    </xf>
    <xf numFmtId="0" fontId="13" fillId="2" borderId="24" applyAlignment="1" pivotButton="0" quotePrefix="0" xfId="0">
      <alignment horizontal="left" vertical="center"/>
    </xf>
    <xf numFmtId="0" fontId="13" fillId="2" borderId="16" applyAlignment="1" pivotButton="0" quotePrefix="0" xfId="0">
      <alignment horizontal="left" vertical="center"/>
    </xf>
    <xf numFmtId="0" fontId="33" fillId="4" borderId="94" applyAlignment="1" pivotButton="0" quotePrefix="0" xfId="0">
      <alignment horizontal="left"/>
    </xf>
    <xf numFmtId="0" fontId="33" fillId="4" borderId="86" applyAlignment="1" pivotButton="0" quotePrefix="0" xfId="0">
      <alignment horizontal="left"/>
    </xf>
    <xf numFmtId="0" fontId="33" fillId="4" borderId="95" applyAlignment="1" pivotButton="0" quotePrefix="0" xfId="0">
      <alignment horizontal="left"/>
    </xf>
    <xf numFmtId="0" fontId="8" fillId="2" borderId="60" applyAlignment="1" pivotButton="0" quotePrefix="0" xfId="0">
      <alignment horizontal="left"/>
    </xf>
    <xf numFmtId="0" fontId="12" fillId="4" borderId="0" applyAlignment="1" pivotButton="0" quotePrefix="0" xfId="0">
      <alignment horizontal="left" vertical="center"/>
    </xf>
    <xf numFmtId="0" fontId="13" fillId="4" borderId="0" applyAlignment="1" pivotButton="0" quotePrefix="0" xfId="0">
      <alignment horizontal="left" vertical="center"/>
    </xf>
    <xf numFmtId="164" fontId="28" fillId="4" borderId="0" applyAlignment="1" pivotButton="0" quotePrefix="0" xfId="0">
      <alignment horizontal="center"/>
    </xf>
    <xf numFmtId="164" fontId="28" fillId="6" borderId="18" applyAlignment="1" pivotButton="0" quotePrefix="0" xfId="0">
      <alignment horizontal="center"/>
    </xf>
    <xf numFmtId="164" fontId="28" fillId="6" borderId="75" applyAlignment="1" pivotButton="0" quotePrefix="0" xfId="0">
      <alignment horizontal="center"/>
    </xf>
    <xf numFmtId="0" fontId="4" fillId="4" borderId="74" applyAlignment="1" pivotButton="0" quotePrefix="0" xfId="0">
      <alignment horizontal="left"/>
    </xf>
    <xf numFmtId="0" fontId="4" fillId="4" borderId="2" applyAlignment="1" pivotButton="0" quotePrefix="0" xfId="0">
      <alignment horizontal="left"/>
    </xf>
    <xf numFmtId="0" fontId="4" fillId="4" borderId="13" applyAlignment="1" pivotButton="0" quotePrefix="0" xfId="0">
      <alignment horizontal="left"/>
    </xf>
    <xf numFmtId="0" fontId="30" fillId="6" borderId="43" applyAlignment="1" pivotButton="0" quotePrefix="0" xfId="0">
      <alignment horizontal="center"/>
    </xf>
    <xf numFmtId="0" fontId="30" fillId="6" borderId="44" applyAlignment="1" pivotButton="0" quotePrefix="0" xfId="0">
      <alignment horizontal="center"/>
    </xf>
    <xf numFmtId="0" fontId="22" fillId="4" borderId="88" applyAlignment="1" pivotButton="0" quotePrefix="0" xfId="0">
      <alignment horizontal="left" vertical="center" wrapText="1"/>
    </xf>
    <xf numFmtId="0" fontId="22" fillId="4" borderId="8" applyAlignment="1" pivotButton="0" quotePrefix="0" xfId="0">
      <alignment horizontal="left" vertical="center" wrapText="1"/>
    </xf>
    <xf numFmtId="0" fontId="22" fillId="4" borderId="89" applyAlignment="1" pivotButton="0" quotePrefix="0" xfId="0">
      <alignment horizontal="left" vertical="center" wrapText="1"/>
    </xf>
    <xf numFmtId="0" fontId="22" fillId="4" borderId="93" applyAlignment="1" pivotButton="0" quotePrefix="0" xfId="0">
      <alignment horizontal="left" vertical="center" wrapText="1"/>
    </xf>
    <xf numFmtId="0" fontId="22" fillId="4" borderId="0" applyAlignment="1" pivotButton="0" quotePrefix="0" xfId="0">
      <alignment horizontal="left" vertical="center" wrapText="1"/>
    </xf>
    <xf numFmtId="0" fontId="22" fillId="4" borderId="4" applyAlignment="1" pivotButton="0" quotePrefix="0" xfId="0">
      <alignment horizontal="left" vertical="center" wrapText="1"/>
    </xf>
    <xf numFmtId="0" fontId="22" fillId="4" borderId="90" applyAlignment="1" pivotButton="0" quotePrefix="0" xfId="0">
      <alignment horizontal="left" vertical="center" wrapText="1"/>
    </xf>
    <xf numFmtId="0" fontId="22" fillId="4" borderId="11" applyAlignment="1" pivotButton="0" quotePrefix="0" xfId="0">
      <alignment horizontal="left" vertical="center" wrapText="1"/>
    </xf>
    <xf numFmtId="0" fontId="22" fillId="4" borderId="91" applyAlignment="1" pivotButton="0" quotePrefix="0" xfId="0">
      <alignment horizontal="left" vertical="center" wrapText="1"/>
    </xf>
    <xf numFmtId="0" fontId="33" fillId="0" borderId="76" pivotButton="0" quotePrefix="0" xfId="0"/>
    <xf numFmtId="0" fontId="33" fillId="0" borderId="1" pivotButton="0" quotePrefix="0" xfId="0"/>
    <xf numFmtId="0" fontId="33" fillId="0" borderId="5" pivotButton="0" quotePrefix="0" xfId="0"/>
    <xf numFmtId="0" fontId="33" fillId="0" borderId="63" applyAlignment="1" pivotButton="0" quotePrefix="0" xfId="0">
      <alignment horizontal="center" wrapText="1"/>
    </xf>
    <xf numFmtId="0" fontId="33" fillId="0" borderId="77" applyAlignment="1" pivotButton="0" quotePrefix="0" xfId="0">
      <alignment horizontal="center" wrapText="1"/>
    </xf>
    <xf numFmtId="0" fontId="1" fillId="2" borderId="72" pivotButton="0" quotePrefix="0" xfId="0"/>
    <xf numFmtId="0" fontId="0" fillId="2" borderId="25" pivotButton="0" quotePrefix="0" xfId="0"/>
    <xf numFmtId="0" fontId="0" fillId="2" borderId="28" pivotButton="0" quotePrefix="0" xfId="0"/>
    <xf numFmtId="0" fontId="0" fillId="2" borderId="27" applyAlignment="1" pivotButton="0" quotePrefix="0" xfId="0">
      <alignment horizontal="center"/>
    </xf>
    <xf numFmtId="0" fontId="0" fillId="2" borderId="73" applyAlignment="1" pivotButton="0" quotePrefix="0" xfId="0">
      <alignment horizontal="center"/>
    </xf>
    <xf numFmtId="0" fontId="0" fillId="2" borderId="29" applyAlignment="1" pivotButton="0" quotePrefix="0" xfId="0">
      <alignment horizontal="center"/>
    </xf>
    <xf numFmtId="0" fontId="0" fillId="2" borderId="15" applyAlignment="1" pivotButton="0" quotePrefix="0" xfId="0">
      <alignment horizontal="center"/>
    </xf>
    <xf numFmtId="0" fontId="0" fillId="2" borderId="67" pivotButton="0" quotePrefix="0" xfId="0"/>
    <xf numFmtId="0" fontId="0" fillId="2" borderId="68" pivotButton="0" quotePrefix="0" xfId="0"/>
    <xf numFmtId="0" fontId="0" fillId="2" borderId="69" pivotButton="0" quotePrefix="0" xfId="0"/>
    <xf numFmtId="0" fontId="0" fillId="2" borderId="70" applyAlignment="1" pivotButton="0" quotePrefix="0" xfId="0">
      <alignment horizontal="center"/>
    </xf>
    <xf numFmtId="0" fontId="0" fillId="2" borderId="71" applyAlignment="1" pivotButton="0" quotePrefix="0" xfId="0">
      <alignment horizontal="center"/>
    </xf>
    <xf numFmtId="0" fontId="0" fillId="2" borderId="60" pivotButton="0" quotePrefix="0" xfId="0"/>
    <xf numFmtId="0" fontId="0" fillId="2" borderId="24" pivotButton="0" quotePrefix="0" xfId="0"/>
    <xf numFmtId="0" fontId="0" fillId="2" borderId="16" pivotButton="0" quotePrefix="0" xfId="0"/>
    <xf numFmtId="0" fontId="8" fillId="4" borderId="63" applyAlignment="1" pivotButton="0" quotePrefix="0" xfId="0">
      <alignment horizontal="center"/>
    </xf>
    <xf numFmtId="0" fontId="0" fillId="4" borderId="1" applyAlignment="1" pivotButton="0" quotePrefix="0" xfId="0">
      <alignment horizontal="center"/>
    </xf>
    <xf numFmtId="0" fontId="0" fillId="4" borderId="5" applyAlignment="1" pivotButton="0" quotePrefix="0" xfId="0">
      <alignment horizontal="center"/>
    </xf>
    <xf numFmtId="0" fontId="1" fillId="2" borderId="78" applyAlignment="1" pivotButton="0" quotePrefix="0" xfId="0">
      <alignment horizontal="left"/>
    </xf>
    <xf numFmtId="0" fontId="1" fillId="2" borderId="72" applyAlignment="1" pivotButton="0" quotePrefix="0" xfId="0">
      <alignment horizontal="left"/>
    </xf>
    <xf numFmtId="0" fontId="12" fillId="2" borderId="24" applyAlignment="1" pivotButton="0" quotePrefix="0" xfId="0">
      <alignment horizontal="left" vertical="center"/>
    </xf>
    <xf numFmtId="0" fontId="12" fillId="2" borderId="16" applyAlignment="1" pivotButton="0" quotePrefix="0" xfId="0">
      <alignment horizontal="left" vertical="center"/>
    </xf>
    <xf numFmtId="0" fontId="1" fillId="2" borderId="60" applyAlignment="1" pivotButton="0" quotePrefix="0" xfId="0">
      <alignment horizontal="left"/>
    </xf>
    <xf numFmtId="0" fontId="27" fillId="6" borderId="109" applyAlignment="1" pivotButton="0" quotePrefix="0" xfId="0">
      <alignment horizontal="left" vertical="center" wrapText="1"/>
    </xf>
    <xf numFmtId="0" fontId="0" fillId="0" borderId="14" pivotButton="0" quotePrefix="0" xfId="0"/>
    <xf numFmtId="0" fontId="21" fillId="4" borderId="108" applyAlignment="1" pivotButton="0" quotePrefix="1" xfId="3">
      <alignment horizontal="left" vertical="center" wrapText="1"/>
    </xf>
    <xf numFmtId="0" fontId="0" fillId="0" borderId="86" pivotButton="0" quotePrefix="0" xfId="0"/>
    <xf numFmtId="0" fontId="0" fillId="0" borderId="87" pivotButton="0" quotePrefix="0" xfId="0"/>
    <xf numFmtId="0" fontId="21" fillId="2" borderId="108" applyAlignment="1" pivotButton="0" quotePrefix="0" xfId="3">
      <alignment horizontal="left" vertical="center" wrapText="1"/>
    </xf>
    <xf numFmtId="0" fontId="0" fillId="0" borderId="24" pivotButton="0" quotePrefix="0" xfId="0"/>
    <xf numFmtId="0" fontId="0" fillId="0" borderId="15" pivotButton="0" quotePrefix="0" xfId="0"/>
    <xf numFmtId="0" fontId="43" fillId="4" borderId="108" applyAlignment="1" pivotButton="0" quotePrefix="1" xfId="3">
      <alignment horizontal="left" vertical="center" wrapText="1"/>
    </xf>
    <xf numFmtId="0" fontId="21" fillId="4" borderId="107" applyAlignment="1" pivotButton="0" quotePrefix="0" xfId="3">
      <alignment horizontal="left" vertical="center" wrapText="1"/>
    </xf>
    <xf numFmtId="0" fontId="0" fillId="0" borderId="84" pivotButton="0" quotePrefix="0" xfId="0"/>
    <xf numFmtId="0" fontId="0" fillId="0" borderId="85" pivotButton="0" quotePrefix="0" xfId="0"/>
    <xf numFmtId="0" fontId="0" fillId="0" borderId="33" pivotButton="0" quotePrefix="0" xfId="0"/>
    <xf numFmtId="0" fontId="0" fillId="0" borderId="59" pivotButton="0" quotePrefix="0" xfId="0"/>
    <xf numFmtId="0" fontId="0" fillId="0" borderId="68" pivotButton="0" quotePrefix="0" xfId="0"/>
    <xf numFmtId="0" fontId="0" fillId="0" borderId="71" pivotButton="0" quotePrefix="0" xfId="0"/>
    <xf numFmtId="0" fontId="31" fillId="6" borderId="106" applyAlignment="1" pivotButton="0" quotePrefix="0" xfId="0">
      <alignment horizontal="left" vertical="center"/>
    </xf>
    <xf numFmtId="0" fontId="31" fillId="6" borderId="62" applyAlignment="1" pivotButton="0" quotePrefix="0" xfId="0">
      <alignment horizontal="center" vertical="center" wrapText="1"/>
    </xf>
    <xf numFmtId="0" fontId="0" fillId="0" borderId="80" pivotButton="0" quotePrefix="0" xfId="0"/>
    <xf numFmtId="0" fontId="0" fillId="0" borderId="82" pivotButton="0" quotePrefix="0" xfId="0"/>
    <xf numFmtId="166" fontId="18" fillId="2" borderId="0" pivotButton="0" quotePrefix="0" xfId="2"/>
    <xf numFmtId="167" fontId="0" fillId="0" borderId="4" pivotButton="0" quotePrefix="0" xfId="2"/>
    <xf numFmtId="167" fontId="0" fillId="0" borderId="42" pivotButton="0" quotePrefix="0" xfId="0"/>
    <xf numFmtId="166" fontId="18" fillId="2" borderId="24" pivotButton="0" quotePrefix="0" xfId="2"/>
    <xf numFmtId="167" fontId="0" fillId="0" borderId="16" pivotButton="0" quotePrefix="0" xfId="2"/>
    <xf numFmtId="167" fontId="0" fillId="0" borderId="39" pivotButton="0" quotePrefix="0" xfId="0"/>
    <xf numFmtId="166" fontId="0" fillId="0" borderId="2" pivotButton="0" quotePrefix="0" xfId="0"/>
    <xf numFmtId="167" fontId="5" fillId="0" borderId="13" pivotButton="0" quotePrefix="0" xfId="2"/>
    <xf numFmtId="167" fontId="5" fillId="0" borderId="40" pivotButton="0" quotePrefix="0" xfId="2"/>
    <xf numFmtId="164" fontId="5" fillId="0" borderId="8" pivotButton="0" quotePrefix="0" xfId="2"/>
    <xf numFmtId="164" fontId="5" fillId="0" borderId="0" pivotButton="0" quotePrefix="0" xfId="2"/>
    <xf numFmtId="0" fontId="34" fillId="4" borderId="76" applyAlignment="1" pivotButton="0" quotePrefix="1" xfId="0">
      <alignment horizontal="left" vertical="center" wrapText="1"/>
    </xf>
    <xf numFmtId="0" fontId="35" fillId="4" borderId="19" applyAlignment="1" pivotButton="0" quotePrefix="0" xfId="0">
      <alignment horizontal="center" vertical="center"/>
    </xf>
    <xf numFmtId="0" fontId="0" fillId="0" borderId="37" pivotButton="0" quotePrefix="0" xfId="0"/>
    <xf numFmtId="0" fontId="8" fillId="2" borderId="102" applyAlignment="1" pivotButton="0" quotePrefix="0" xfId="0">
      <alignment horizontal="left"/>
    </xf>
    <xf numFmtId="0" fontId="0" fillId="0" borderId="25" pivotButton="0" quotePrefix="0" xfId="0"/>
    <xf numFmtId="0" fontId="0" fillId="0" borderId="28" pivotButton="0" quotePrefix="0" xfId="0"/>
    <xf numFmtId="167" fontId="18" fillId="2" borderId="25" pivotButton="0" quotePrefix="0" xfId="2"/>
    <xf numFmtId="167" fontId="0" fillId="0" borderId="42" pivotButton="0" quotePrefix="0" xfId="2"/>
    <xf numFmtId="0" fontId="12" fillId="2" borderId="102" applyAlignment="1" pivotButton="0" quotePrefix="0" xfId="0">
      <alignment horizontal="left" vertical="center"/>
    </xf>
    <xf numFmtId="168" fontId="1" fillId="2" borderId="27" applyAlignment="1" pivotButton="0" quotePrefix="0" xfId="0">
      <alignment horizontal="left"/>
    </xf>
    <xf numFmtId="168" fontId="0" fillId="2" borderId="25" pivotButton="0" quotePrefix="0" xfId="0"/>
    <xf numFmtId="167" fontId="0" fillId="2" borderId="28" applyAlignment="1" pivotButton="0" quotePrefix="0" xfId="0">
      <alignment horizontal="center"/>
    </xf>
    <xf numFmtId="167" fontId="0" fillId="0" borderId="12" pivotButton="0" quotePrefix="0" xfId="2"/>
    <xf numFmtId="0" fontId="8" fillId="2" borderId="103" applyAlignment="1" pivotButton="0" quotePrefix="0" xfId="0">
      <alignment horizontal="left"/>
    </xf>
    <xf numFmtId="0" fontId="0" fillId="0" borderId="26" pivotButton="0" quotePrefix="0" xfId="0"/>
    <xf numFmtId="0" fontId="0" fillId="0" borderId="66" pivotButton="0" quotePrefix="0" xfId="0"/>
    <xf numFmtId="167" fontId="18" fillId="2" borderId="26" pivotButton="0" quotePrefix="0" xfId="2"/>
    <xf numFmtId="167" fontId="0" fillId="0" borderId="58" pivotButton="0" quotePrefix="0" xfId="2"/>
    <xf numFmtId="0" fontId="12" fillId="2" borderId="23" applyAlignment="1" pivotButton="0" quotePrefix="0" xfId="0">
      <alignment horizontal="left" vertical="center"/>
    </xf>
    <xf numFmtId="0" fontId="0" fillId="0" borderId="16" pivotButton="0" quotePrefix="0" xfId="0"/>
    <xf numFmtId="168" fontId="8" fillId="2" borderId="29" pivotButton="0" quotePrefix="0" xfId="0"/>
    <xf numFmtId="168" fontId="0" fillId="2" borderId="24" pivotButton="0" quotePrefix="0" xfId="0"/>
    <xf numFmtId="168" fontId="0" fillId="2" borderId="24" applyAlignment="1" pivotButton="0" quotePrefix="0" xfId="0">
      <alignment horizontal="center"/>
    </xf>
    <xf numFmtId="167" fontId="8" fillId="2" borderId="16" applyAlignment="1" pivotButton="0" quotePrefix="0" xfId="2">
      <alignment horizontal="right"/>
    </xf>
    <xf numFmtId="167" fontId="0" fillId="0" borderId="15" pivotButton="0" quotePrefix="0" xfId="2"/>
    <xf numFmtId="0" fontId="33" fillId="4" borderId="104" applyAlignment="1" pivotButton="0" quotePrefix="0" xfId="0">
      <alignment horizontal="left"/>
    </xf>
    <xf numFmtId="0" fontId="0" fillId="0" borderId="95" pivotButton="0" quotePrefix="0" xfId="0"/>
    <xf numFmtId="168" fontId="33" fillId="4" borderId="86" applyAlignment="1" pivotButton="0" quotePrefix="0" xfId="0">
      <alignment horizontal="center"/>
    </xf>
    <xf numFmtId="167" fontId="33" fillId="4" borderId="86" pivotButton="0" quotePrefix="0" xfId="2"/>
    <xf numFmtId="167" fontId="33" fillId="4" borderId="97" pivotButton="0" quotePrefix="0" xfId="2"/>
    <xf numFmtId="168" fontId="36" fillId="0" borderId="11" applyAlignment="1" pivotButton="0" quotePrefix="0" xfId="0">
      <alignment horizontal="left"/>
    </xf>
    <xf numFmtId="168" fontId="0" fillId="0" borderId="11" pivotButton="0" quotePrefix="0" xfId="0"/>
    <xf numFmtId="168" fontId="0" fillId="0" borderId="11" applyAlignment="1" pivotButton="0" quotePrefix="0" xfId="0">
      <alignment horizontal="center"/>
    </xf>
    <xf numFmtId="167" fontId="0" fillId="0" borderId="11" applyAlignment="1" pivotButton="0" quotePrefix="0" xfId="0">
      <alignment horizontal="center"/>
    </xf>
    <xf numFmtId="167" fontId="7" fillId="0" borderId="10" applyAlignment="1" pivotButton="0" quotePrefix="0" xfId="0">
      <alignment horizontal="center"/>
    </xf>
    <xf numFmtId="0" fontId="8" fillId="2" borderId="23" applyAlignment="1" pivotButton="0" quotePrefix="0" xfId="0">
      <alignment horizontal="left"/>
    </xf>
    <xf numFmtId="167" fontId="18" fillId="2" borderId="24" pivotButton="0" quotePrefix="0" xfId="2"/>
    <xf numFmtId="167" fontId="0" fillId="0" borderId="39" pivotButton="0" quotePrefix="0" xfId="2"/>
    <xf numFmtId="168" fontId="0" fillId="2" borderId="26" applyAlignment="1" pivotButton="0" quotePrefix="0" xfId="0">
      <alignment horizontal="center"/>
    </xf>
    <xf numFmtId="168" fontId="0" fillId="2" borderId="30" pivotButton="0" quotePrefix="0" xfId="0"/>
    <xf numFmtId="168" fontId="0" fillId="2" borderId="26" pivotButton="0" quotePrefix="0" xfId="0"/>
    <xf numFmtId="167" fontId="23" fillId="2" borderId="66" applyAlignment="1" pivotButton="0" quotePrefix="0" xfId="2">
      <alignment horizontal="center"/>
    </xf>
    <xf numFmtId="0" fontId="0" fillId="2" borderId="23" applyAlignment="1" pivotButton="0" quotePrefix="0" xfId="0">
      <alignment horizontal="left"/>
    </xf>
    <xf numFmtId="168" fontId="4" fillId="0" borderId="13" applyAlignment="1" pivotButton="0" quotePrefix="0" xfId="0">
      <alignment horizontal="left"/>
    </xf>
    <xf numFmtId="0" fontId="0" fillId="0" borderId="2" pivotButton="0" quotePrefix="0" xfId="0"/>
    <xf numFmtId="0" fontId="0" fillId="0" borderId="13" pivotButton="0" quotePrefix="0" xfId="0"/>
    <xf numFmtId="168" fontId="5" fillId="0" borderId="92" pivotButton="0" quotePrefix="0" xfId="2"/>
    <xf numFmtId="42" fontId="23" fillId="4" borderId="0" applyAlignment="1" pivotButton="0" quotePrefix="0" xfId="2">
      <alignment horizontal="center"/>
    </xf>
    <xf numFmtId="0" fontId="4" fillId="4" borderId="17" applyAlignment="1" pivotButton="0" quotePrefix="0" xfId="0">
      <alignment horizontal="left"/>
    </xf>
    <xf numFmtId="168" fontId="4" fillId="4" borderId="2" applyAlignment="1" pivotButton="0" quotePrefix="0" xfId="0">
      <alignment horizontal="center"/>
    </xf>
    <xf numFmtId="167" fontId="4" fillId="4" borderId="2" pivotButton="0" quotePrefix="0" xfId="0"/>
    <xf numFmtId="167" fontId="4" fillId="0" borderId="34" pivotButton="0" quotePrefix="0" xfId="2"/>
    <xf numFmtId="167" fontId="0" fillId="0" borderId="0" pivotButton="0" quotePrefix="0" xfId="0"/>
    <xf numFmtId="168" fontId="3" fillId="0" borderId="11" applyAlignment="1" pivotButton="0" quotePrefix="0" xfId="0">
      <alignment horizontal="left"/>
    </xf>
    <xf numFmtId="168" fontId="7" fillId="0" borderId="10" applyAlignment="1" pivotButton="0" quotePrefix="0" xfId="0">
      <alignment horizontal="center"/>
    </xf>
    <xf numFmtId="164" fontId="28" fillId="4" borderId="0" applyAlignment="1" pivotButton="0" quotePrefix="0" xfId="0">
      <alignment horizontal="center"/>
    </xf>
    <xf numFmtId="168" fontId="12" fillId="2" borderId="25" applyAlignment="1" pivotButton="0" quotePrefix="0" xfId="0">
      <alignment horizontal="left" vertical="center"/>
    </xf>
    <xf numFmtId="168" fontId="12" fillId="2" borderId="28" applyAlignment="1" pivotButton="0" quotePrefix="0" xfId="0">
      <alignment horizontal="left" vertical="center"/>
    </xf>
    <xf numFmtId="168" fontId="13" fillId="2" borderId="24" applyAlignment="1" pivotButton="0" quotePrefix="0" xfId="0">
      <alignment horizontal="left" vertical="center"/>
    </xf>
    <xf numFmtId="168" fontId="13" fillId="2" borderId="16" applyAlignment="1" pivotButton="0" quotePrefix="0" xfId="0">
      <alignment horizontal="left" vertical="center"/>
    </xf>
    <xf numFmtId="168" fontId="4" fillId="0" borderId="2" applyAlignment="1" pivotButton="0" quotePrefix="0" xfId="0">
      <alignment horizontal="left"/>
    </xf>
    <xf numFmtId="168" fontId="0" fillId="0" borderId="2" pivotButton="0" quotePrefix="0" xfId="0"/>
    <xf numFmtId="167" fontId="0" fillId="0" borderId="13" pivotButton="0" quotePrefix="0" xfId="0"/>
    <xf numFmtId="167" fontId="5" fillId="0" borderId="92" pivotButton="0" quotePrefix="0" xfId="2"/>
    <xf numFmtId="164" fontId="28" fillId="6" borderId="75" applyAlignment="1" pivotButton="0" quotePrefix="0" xfId="0">
      <alignment horizontal="center"/>
    </xf>
    <xf numFmtId="0" fontId="0" fillId="0" borderId="18" pivotButton="0" quotePrefix="0" xfId="0"/>
    <xf numFmtId="0" fontId="0" fillId="0" borderId="75" pivotButton="0" quotePrefix="0" xfId="0"/>
    <xf numFmtId="0" fontId="0" fillId="0" borderId="44" pivotButton="0" quotePrefix="0" xfId="0"/>
    <xf numFmtId="0" fontId="22" fillId="4" borderId="19" applyAlignment="1" pivotButton="0" quotePrefix="0" xfId="0">
      <alignment horizontal="left" vertical="center" wrapText="1"/>
    </xf>
    <xf numFmtId="0" fontId="0" fillId="0" borderId="8" pivotButton="0" quotePrefix="0" xfId="0"/>
    <xf numFmtId="0" fontId="0" fillId="0" borderId="89" pivotButton="0" quotePrefix="0" xfId="0"/>
    <xf numFmtId="0" fontId="33" fillId="0" borderId="20" pivotButton="0" quotePrefix="0" xfId="0"/>
    <xf numFmtId="0" fontId="0" fillId="0" borderId="1" pivotButton="0" quotePrefix="0" xfId="0"/>
    <xf numFmtId="0" fontId="0" fillId="0" borderId="5" pivotButton="0" quotePrefix="0" xfId="0"/>
    <xf numFmtId="0" fontId="33" fillId="0" borderId="101" applyAlignment="1" pivotButton="0" quotePrefix="0" xfId="0">
      <alignment horizontal="center" wrapText="1"/>
    </xf>
    <xf numFmtId="0" fontId="0" fillId="0" borderId="77" pivotButton="0" quotePrefix="0" xfId="0"/>
    <xf numFmtId="0" fontId="0" fillId="0" borderId="93" pivotButton="0" quotePrefix="0" xfId="0"/>
    <xf numFmtId="0" fontId="0" fillId="0" borderId="4" pivotButton="0" quotePrefix="0" xfId="0"/>
    <xf numFmtId="0" fontId="1" fillId="2" borderId="102" pivotButton="0" quotePrefix="0" xfId="0"/>
    <xf numFmtId="0" fontId="0" fillId="2" borderId="42" applyAlignment="1" pivotButton="0" quotePrefix="0" xfId="0">
      <alignment horizontal="center"/>
    </xf>
    <xf numFmtId="0" fontId="0" fillId="0" borderId="73" pivotButton="0" quotePrefix="0" xfId="0"/>
    <xf numFmtId="0" fontId="0" fillId="2" borderId="39" applyAlignment="1" pivotButton="0" quotePrefix="0" xfId="0">
      <alignment horizontal="center"/>
    </xf>
    <xf numFmtId="0" fontId="0" fillId="2" borderId="23" pivotButton="0" quotePrefix="0" xfId="0"/>
    <xf numFmtId="0" fontId="0" fillId="0" borderId="90" pivotButton="0" quotePrefix="0" xfId="0"/>
    <xf numFmtId="0" fontId="0" fillId="0" borderId="91" pivotButton="0" quotePrefix="0" xfId="0"/>
    <xf numFmtId="0" fontId="0" fillId="2" borderId="98" pivotButton="0" quotePrefix="0" xfId="0"/>
    <xf numFmtId="0" fontId="0" fillId="0" borderId="69" pivotButton="0" quotePrefix="0" xfId="0"/>
    <xf numFmtId="0" fontId="0" fillId="2" borderId="100" applyAlignment="1" pivotButton="0" quotePrefix="0" xfId="0">
      <alignment horizontal="center"/>
    </xf>
    <xf numFmtId="0" fontId="8" fillId="4" borderId="19" applyAlignment="1" pivotButton="0" quotePrefix="0" xfId="0">
      <alignment horizontal="center"/>
    </xf>
    <xf numFmtId="167" fontId="18" fillId="4" borderId="50" pivotButton="0" quotePrefix="0" xfId="2"/>
    <xf numFmtId="167" fontId="18" fillId="4" borderId="51" pivotButton="0" quotePrefix="0" xfId="2"/>
    <xf numFmtId="167" fontId="18" fillId="4" borderId="53" pivotButton="0" quotePrefix="0" xfId="2"/>
    <xf numFmtId="167" fontId="18" fillId="4" borderId="54" pivotButton="0" quotePrefix="0" xfId="2"/>
    <xf numFmtId="167" fontId="18" fillId="4" borderId="56" pivotButton="0" quotePrefix="0" xfId="2"/>
    <xf numFmtId="167" fontId="18" fillId="4" borderId="57" pivotButton="0" quotePrefix="0" xfId="2"/>
    <xf numFmtId="167" fontId="8" fillId="4" borderId="19" pivotButton="0" quotePrefix="0" xfId="0"/>
    <xf numFmtId="167" fontId="8" fillId="4" borderId="19" pivotButton="0" quotePrefix="0" xfId="2"/>
    <xf numFmtId="166" fontId="1" fillId="2" borderId="0" pivotButton="0" quotePrefix="0" xfId="2"/>
    <xf numFmtId="166" fontId="1" fillId="2" borderId="24" pivotButton="0" quotePrefix="0" xfId="2"/>
    <xf numFmtId="167" fontId="4" fillId="0" borderId="13" pivotButton="0" quotePrefix="0" xfId="2"/>
    <xf numFmtId="167" fontId="4" fillId="0" borderId="40" pivotButton="0" quotePrefix="0" xfId="2"/>
    <xf numFmtId="164" fontId="4" fillId="0" borderId="8" pivotButton="0" quotePrefix="0" xfId="2"/>
    <xf numFmtId="164" fontId="4" fillId="0" borderId="0" pivotButton="0" quotePrefix="0" xfId="2"/>
    <xf numFmtId="0" fontId="1" fillId="2" borderId="102" applyAlignment="1" pivotButton="0" quotePrefix="0" xfId="0">
      <alignment horizontal="left"/>
    </xf>
    <xf numFmtId="167" fontId="1" fillId="2" borderId="25" pivotButton="0" quotePrefix="0" xfId="2"/>
    <xf numFmtId="0" fontId="1" fillId="2" borderId="103" applyAlignment="1" pivotButton="0" quotePrefix="0" xfId="0">
      <alignment horizontal="left"/>
    </xf>
    <xf numFmtId="167" fontId="1" fillId="2" borderId="26" pivotButton="0" quotePrefix="0" xfId="2"/>
    <xf numFmtId="168" fontId="1" fillId="2" borderId="29" pivotButton="0" quotePrefix="0" xfId="0"/>
    <xf numFmtId="167" fontId="1" fillId="2" borderId="16" applyAlignment="1" pivotButton="0" quotePrefix="0" xfId="2">
      <alignment horizontal="right"/>
    </xf>
    <xf numFmtId="0" fontId="1" fillId="2" borderId="23" applyAlignment="1" pivotButton="0" quotePrefix="0" xfId="0">
      <alignment horizontal="left"/>
    </xf>
    <xf numFmtId="167" fontId="1" fillId="2" borderId="24" pivotButton="0" quotePrefix="0" xfId="2"/>
    <xf numFmtId="167" fontId="1" fillId="2" borderId="66" applyAlignment="1" pivotButton="0" quotePrefix="0" xfId="2">
      <alignment horizontal="center"/>
    </xf>
    <xf numFmtId="168" fontId="4" fillId="0" borderId="92" pivotButton="0" quotePrefix="0" xfId="2"/>
    <xf numFmtId="42" fontId="1" fillId="4" borderId="0" applyAlignment="1" pivotButton="0" quotePrefix="0" xfId="2">
      <alignment horizontal="center"/>
    </xf>
    <xf numFmtId="168" fontId="12" fillId="2" borderId="24" applyAlignment="1" pivotButton="0" quotePrefix="0" xfId="0">
      <alignment horizontal="left" vertical="center"/>
    </xf>
    <xf numFmtId="168" fontId="12" fillId="2" borderId="16" applyAlignment="1" pivotButton="0" quotePrefix="0" xfId="0">
      <alignment horizontal="left" vertical="center"/>
    </xf>
    <xf numFmtId="167" fontId="4" fillId="0" borderId="92" pivotButton="0" quotePrefix="0" xfId="2"/>
    <xf numFmtId="0" fontId="0" fillId="8" borderId="0" pivotButton="0" quotePrefix="0" xfId="0"/>
    <xf numFmtId="0" fontId="0" fillId="9" borderId="0" pivotButton="0" quotePrefix="0" xfId="0"/>
    <xf numFmtId="0" fontId="0" fillId="8" borderId="47" pivotButton="0" quotePrefix="0" xfId="0"/>
    <xf numFmtId="0" fontId="45" fillId="9" borderId="0" applyAlignment="1" pivotButton="0" quotePrefix="0" xfId="0">
      <alignment horizontal="center"/>
    </xf>
    <xf numFmtId="1" fontId="45" fillId="9" borderId="0" applyAlignment="1" pivotButton="0" quotePrefix="0" xfId="0">
      <alignment horizontal="center"/>
    </xf>
    <xf numFmtId="167" fontId="45" fillId="9" borderId="4" pivotButton="0" quotePrefix="0" xfId="2"/>
    <xf numFmtId="0" fontId="0" fillId="8" borderId="48" pivotButton="0" quotePrefix="0" xfId="0"/>
    <xf numFmtId="0" fontId="45" fillId="9" borderId="24" applyAlignment="1" pivotButton="0" quotePrefix="0" xfId="0">
      <alignment horizontal="center"/>
    </xf>
    <xf numFmtId="167" fontId="45" fillId="9" borderId="16" pivotButton="0" quotePrefix="0" xfId="2"/>
    <xf numFmtId="0" fontId="46" fillId="0" borderId="0" pivotButton="0" quotePrefix="0" xfId="0"/>
  </cellXfs>
  <cellStyles count="5">
    <cellStyle name="Normale" xfId="0" builtinId="0"/>
    <cellStyle name="Comma 2" xfId="1"/>
    <cellStyle name="Valuta" xfId="2" builtinId="4"/>
    <cellStyle name="Collegamento ipertestuale" xfId="3" builtinId="8"/>
    <cellStyle name="Normal 2"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H22" authorId="0" shapeId="0">
      <text>
        <t xml:space="preserve">CAD-CAE licences costs already included in SG&amp;A compensation
</t>
      </text>
    </comment>
    <comment ref="L22" authorId="0" shapeId="0">
      <text>
        <t xml:space="preserve">CAD-CAE licences costs already included in SG&amp;A compensation
</t>
      </text>
    </comment>
    <comment ref="O22" authorId="0" shapeId="0">
      <text>
        <t xml:space="preserve">CAD-CAE licences costs already included in SG&amp;A compensation
</t>
      </text>
    </comment>
    <comment ref="G42" authorId="0" shapeId="0">
      <text>
        <t xml:space="preserve">Facilities &amp; equipment already included in SG&amp;A.
</t>
      </text>
    </comment>
  </commentList>
</comments>
</file>

<file path=xl/comments/comment2.xml><?xml version="1.0" encoding="utf-8"?>
<comments xmlns="http://schemas.openxmlformats.org/spreadsheetml/2006/main">
  <authors>
    <author>Administrator</author>
  </authors>
  <commentList>
    <comment ref="H22" authorId="0" shapeId="0">
      <text>
        <t xml:space="preserve">CAD-CAE licences costs already included in SG&amp;A compensation
</t>
      </text>
    </comment>
    <comment ref="L22" authorId="0" shapeId="0">
      <text>
        <t xml:space="preserve">CAD-CAE licences costs already included in SG&amp;A compensation
</t>
      </text>
    </comment>
    <comment ref="O22" authorId="0" shapeId="0">
      <text>
        <t xml:space="preserve">CAD-CAE licences costs already included in SG&amp;A compensation
</t>
      </text>
    </comment>
    <comment ref="G42" authorId="0" shapeId="0">
      <text>
        <t xml:space="preserve">Facilities &amp; equipment already included in SG&amp;A.
</t>
      </text>
    </comment>
  </commentList>
</comments>
</file>

<file path=xl/comments/comment3.xml><?xml version="1.0" encoding="utf-8"?>
<comments xmlns="http://schemas.openxmlformats.org/spreadsheetml/2006/main">
  <authors>
    <author>Administrator</author>
  </authors>
  <commentList>
    <comment ref="H22" authorId="0" shapeId="0">
      <text>
        <t xml:space="preserve">CAD-CAE licences costs already included in SG&amp;A compensation
</t>
      </text>
    </comment>
    <comment ref="L22" authorId="0" shapeId="0">
      <text>
        <t xml:space="preserve">CAD-CAE licences costs already included in SG&amp;A compensation
</t>
      </text>
    </comment>
    <comment ref="O22" authorId="0" shapeId="0">
      <text>
        <t xml:space="preserve">CAD-CAE licences costs already included in SG&amp;A compensation
</t>
      </text>
    </comment>
    <comment ref="G42" authorId="0" shapeId="0">
      <text>
        <t xml:space="preserve">Facilities &amp; equipment already included in SG&amp;A.
</t>
      </text>
    </comment>
  </commentList>
</comment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FF00B050"/>
    <outlinePr summaryBelow="1" summaryRight="1"/>
    <pageSetUpPr/>
  </sheetPr>
  <dimension ref="A1:X79"/>
  <sheetViews>
    <sheetView showGridLines="0" tabSelected="1" topLeftCell="A4" zoomScale="70" zoomScaleNormal="70" zoomScaleSheetLayoutView="80" workbookViewId="0">
      <selection activeCell="B100" sqref="B100"/>
    </sheetView>
  </sheetViews>
  <sheetFormatPr baseColWidth="8" defaultRowHeight="12.75"/>
  <cols>
    <col width="63.85546875" customWidth="1" style="159" min="2" max="2"/>
    <col width="22.5703125" customWidth="1" style="159" min="3" max="3"/>
    <col width="20.85546875" customWidth="1" style="159" min="4" max="4"/>
    <col width="9.140625" customWidth="1" style="159" min="5" max="5"/>
    <col width="12.42578125" customWidth="1" style="159" min="6" max="6"/>
    <col width="10.7109375" customWidth="1" style="159" min="7" max="7"/>
    <col width="14.140625" customWidth="1" style="159" min="8" max="8"/>
    <col width="15.7109375" customWidth="1" style="159" min="9" max="9"/>
    <col width="10.7109375" customWidth="1" style="159" min="10" max="10"/>
    <col width="9.5703125" customWidth="1" style="159" min="11" max="11"/>
    <col width="13.140625" customWidth="1" style="159" min="12" max="12"/>
    <col width="15.7109375" customWidth="1" style="159" min="13" max="13"/>
    <col width="21.85546875" customWidth="1" style="159" min="14" max="14"/>
    <col width="13.140625" customWidth="1" style="159" min="15" max="15"/>
    <col width="15.7109375" customWidth="1" style="159" min="16" max="17"/>
    <col width="26.42578125" customWidth="1" style="159" min="18" max="18"/>
    <col width="12.28515625" bestFit="1" customWidth="1" style="159" min="19" max="19"/>
  </cols>
  <sheetData>
    <row r="1" ht="13.5" customHeight="1" s="159" thickBot="1"/>
    <row r="2" ht="23.25" customHeight="1" s="159">
      <c r="B2" s="415" t="inlineStr">
        <is>
          <t>Supplier ED&amp;D Price Break Down Template
ED&amp;D PBD</t>
        </is>
      </c>
      <c r="C2" s="416" t="n"/>
      <c r="D2" s="43" t="n"/>
      <c r="E2" s="98" t="inlineStr">
        <is>
          <t>Project Scope</t>
        </is>
      </c>
      <c r="F2" s="99" t="n"/>
      <c r="G2" s="99" t="n"/>
      <c r="H2" s="99" t="n"/>
      <c r="I2" s="99" t="n"/>
      <c r="J2" s="140" t="n"/>
      <c r="L2" s="98" t="inlineStr">
        <is>
          <t>FCA Engineer to Complete the following:</t>
        </is>
      </c>
      <c r="M2" s="99" t="n"/>
      <c r="N2" s="100" t="n"/>
      <c r="O2" s="100" t="n"/>
      <c r="P2" s="100" t="n"/>
      <c r="Q2" s="101" t="n"/>
      <c r="R2" s="16" t="n"/>
    </row>
    <row r="3" ht="21" customHeight="1" s="159">
      <c r="B3" s="62" t="n"/>
      <c r="C3" s="38" t="n"/>
      <c r="E3" s="102" t="inlineStr">
        <is>
          <t>FCA Engineer to Complete the following:</t>
        </is>
      </c>
      <c r="F3" s="103" t="n"/>
      <c r="G3" s="103" t="n"/>
      <c r="H3" s="103" t="n"/>
      <c r="I3" s="103" t="n"/>
      <c r="J3" s="141" t="n"/>
      <c r="L3" s="39" t="inlineStr">
        <is>
          <t>Return to :</t>
        </is>
      </c>
      <c r="M3" s="24" t="n"/>
      <c r="N3" s="24" t="n"/>
      <c r="O3" s="36" t="inlineStr">
        <is>
          <t>Name / NIC</t>
        </is>
      </c>
      <c r="Q3" s="38" t="n"/>
      <c r="R3" s="22" t="n"/>
      <c r="S3" s="22" t="n"/>
      <c r="U3" s="22" t="n"/>
      <c r="V3" s="16" t="n"/>
      <c r="W3" s="16" t="n"/>
      <c r="X3" s="16" t="n"/>
    </row>
    <row r="4" ht="18" customHeight="1" s="159">
      <c r="B4" s="62" t="n"/>
      <c r="C4" s="38" t="n"/>
      <c r="D4" s="28" t="n"/>
      <c r="E4" s="417" t="inlineStr">
        <is>
          <t>Part Name:</t>
        </is>
      </c>
      <c r="J4" s="38" t="n"/>
      <c r="K4" s="563" t="inlineStr">
        <is>
          <t>KP1 A&amp;B Fuel Supply Line (FC00SAA78530)</t>
        </is>
      </c>
      <c r="L4" s="40" t="inlineStr">
        <is>
          <t>Approved by (FCA Engineer):</t>
        </is>
      </c>
      <c r="N4" s="96" t="inlineStr">
        <is>
          <t>DR</t>
        </is>
      </c>
      <c r="O4" s="318" t="inlineStr">
        <is>
          <t>aaaa</t>
        </is>
      </c>
      <c r="P4" s="418" t="n"/>
      <c r="Q4" s="419" t="n"/>
      <c r="W4" s="16" t="n"/>
      <c r="X4" s="16" t="n"/>
    </row>
    <row r="5" ht="18" customHeight="1" s="159">
      <c r="B5" s="63" t="inlineStr">
        <is>
          <t>The following is considered valid for advance ED&amp;D Payment:</t>
        </is>
      </c>
      <c r="C5" s="64" t="n"/>
      <c r="D5" s="28" t="n"/>
      <c r="E5" s="420" t="n"/>
      <c r="J5" s="38" t="n"/>
      <c r="L5" s="40" t="inlineStr">
        <is>
          <t>Approved by (FCA Eng Mgr):</t>
        </is>
      </c>
      <c r="N5" s="96" t="inlineStr">
        <is>
          <t>SR</t>
        </is>
      </c>
      <c r="O5" s="312" t="inlineStr">
        <is>
          <t>aaaa</t>
        </is>
      </c>
      <c r="P5" s="421" t="n"/>
      <c r="Q5" s="422" t="n"/>
      <c r="W5" s="16" t="n"/>
      <c r="X5" s="16" t="n"/>
    </row>
    <row r="6" ht="18" customHeight="1" s="159">
      <c r="B6" s="70" t="inlineStr">
        <is>
          <t>- Product Engineering</t>
        </is>
      </c>
      <c r="C6" s="66" t="n"/>
      <c r="D6" s="32" t="n"/>
      <c r="E6" s="417" t="inlineStr">
        <is>
          <t>Is the part production sourced?</t>
        </is>
      </c>
      <c r="J6" s="38" t="n"/>
      <c r="L6" s="40" t="inlineStr">
        <is>
          <t>Approved &amp; Funding Verified by (FCA MR):</t>
        </is>
      </c>
      <c r="O6" s="312" t="n"/>
      <c r="P6" s="421" t="n"/>
      <c r="Q6" s="422" t="n"/>
      <c r="W6" s="16" t="n"/>
      <c r="X6" s="16" t="n"/>
    </row>
    <row r="7" ht="18" customHeight="1" s="159">
      <c r="B7" s="70" t="inlineStr">
        <is>
          <t>- CAD Design</t>
        </is>
      </c>
      <c r="C7" s="66" t="n"/>
      <c r="D7" s="32" t="n"/>
      <c r="E7" s="420" t="n"/>
      <c r="J7" s="38" t="n"/>
      <c r="L7" s="40" t="inlineStr">
        <is>
          <t>ER&amp;D estimated</t>
        </is>
      </c>
      <c r="N7" s="97" t="inlineStr">
        <is>
          <t>Estimated costs</t>
        </is>
      </c>
      <c r="O7" s="312" t="inlineStr">
        <is>
          <t>aaaa</t>
        </is>
      </c>
      <c r="P7" s="421" t="n"/>
      <c r="Q7" s="422" t="n"/>
      <c r="W7" s="16" t="n"/>
      <c r="X7" s="16" t="n"/>
    </row>
    <row r="8" ht="18" customHeight="1" s="159">
      <c r="B8" s="70" t="inlineStr">
        <is>
          <t>- Software Engineering</t>
        </is>
      </c>
      <c r="C8" s="72" t="n"/>
      <c r="D8" s="33" t="n"/>
      <c r="E8" s="417" t="inlineStr">
        <is>
          <t>CN #</t>
        </is>
      </c>
      <c r="J8" s="38" t="n"/>
      <c r="L8" s="40" t="n"/>
      <c r="N8" s="96" t="inlineStr">
        <is>
          <t>Model planner</t>
        </is>
      </c>
      <c r="O8" s="312" t="inlineStr">
        <is>
          <t>aaaa</t>
        </is>
      </c>
      <c r="P8" s="421" t="n"/>
      <c r="Q8" s="422" t="n"/>
      <c r="W8" s="16" t="n"/>
      <c r="X8" s="16" t="n"/>
    </row>
    <row r="9" ht="18.75" customHeight="1" s="159">
      <c r="B9" s="70" t="inlineStr">
        <is>
          <t>- Design Validation Expenses (Time and Materials)</t>
        </is>
      </c>
      <c r="C9" s="72" t="n"/>
      <c r="D9" s="33" t="n"/>
      <c r="E9" s="420" t="n"/>
      <c r="J9" s="38" t="n"/>
      <c r="L9" s="40" t="inlineStr">
        <is>
          <t>Approved by (FCA Buyer):</t>
        </is>
      </c>
      <c r="N9" s="24" t="n"/>
      <c r="O9" s="312" t="n"/>
      <c r="P9" s="421" t="n"/>
      <c r="Q9" s="422" t="n"/>
      <c r="R9" s="16" t="n"/>
      <c r="S9" s="16" t="n"/>
      <c r="U9" s="16" t="n"/>
      <c r="V9" s="16" t="n"/>
      <c r="W9" s="16" t="n"/>
      <c r="X9" s="16" t="n"/>
    </row>
    <row r="10" ht="18" customHeight="1" s="159">
      <c r="B10" s="70" t="inlineStr">
        <is>
          <t>- Product Validation Testing / Reporting</t>
        </is>
      </c>
      <c r="C10" s="73" t="n"/>
      <c r="D10" s="23" t="n"/>
      <c r="E10" s="417" t="inlineStr">
        <is>
          <t>Source Package</t>
        </is>
      </c>
      <c r="J10" s="38" t="n"/>
      <c r="L10" s="40" t="inlineStr">
        <is>
          <t>Approved by (FCA Commodity Mgr):</t>
        </is>
      </c>
      <c r="N10" s="24" t="n"/>
      <c r="O10" s="312" t="n"/>
      <c r="P10" s="421" t="n"/>
      <c r="Q10" s="422" t="n"/>
    </row>
    <row r="11" ht="18.75" customHeight="1" s="159">
      <c r="B11" s="70" t="inlineStr">
        <is>
          <t>- Homologation Requirements</t>
        </is>
      </c>
      <c r="C11" s="73" t="n"/>
      <c r="D11" s="28" t="n"/>
      <c r="E11" s="420" t="n"/>
      <c r="J11" s="38" t="n"/>
      <c r="L11" s="40" t="inlineStr">
        <is>
          <t>Supplier Name</t>
        </is>
      </c>
      <c r="M11" s="564" t="inlineStr">
        <is>
          <t>[公司名称 - 待填]</t>
        </is>
      </c>
      <c r="N11" s="24" t="n"/>
      <c r="O11" s="312" t="inlineStr">
        <is>
          <t>aaaa</t>
        </is>
      </c>
      <c r="P11" s="421" t="n"/>
      <c r="Q11" s="422" t="n"/>
    </row>
    <row r="12" ht="18.75" customHeight="1" s="159">
      <c r="B12" s="70" t="inlineStr">
        <is>
          <t>- Prototype parts &amp; tooling, developmental / Pilot Parts (paid via separate requisition)</t>
        </is>
      </c>
      <c r="C12" s="69" t="n"/>
      <c r="D12" s="32" t="n"/>
      <c r="E12" s="423" t="inlineStr">
        <is>
          <t>Macro-Description of Work to be Completed:</t>
        </is>
      </c>
      <c r="J12" s="38" t="n"/>
      <c r="L12" s="40" t="inlineStr">
        <is>
          <t>Model Year &amp; Vehicle (ie 2012 WD)</t>
        </is>
      </c>
      <c r="M12" s="563" t="inlineStr">
        <is>
          <t>KP1 A&amp;B – 2.2 Diesel</t>
        </is>
      </c>
      <c r="N12" s="24" t="n"/>
      <c r="O12" s="312" t="n"/>
      <c r="P12" s="421" t="n"/>
      <c r="Q12" s="422" t="n"/>
    </row>
    <row r="13" ht="18" customHeight="1" s="159">
      <c r="B13" s="70" t="inlineStr">
        <is>
          <t>- Program Management (ONLY if FULLY dedicated to program)</t>
        </is>
      </c>
      <c r="C13" s="66" t="n"/>
      <c r="D13" s="31" t="n"/>
      <c r="E13" s="424" t="n"/>
      <c r="J13" s="38" t="n"/>
      <c r="L13" s="40" t="inlineStr">
        <is>
          <t>Submission Date</t>
        </is>
      </c>
      <c r="N13" s="24" t="n"/>
      <c r="O13" s="312" t="n"/>
      <c r="P13" s="421" t="n"/>
      <c r="Q13" s="422" t="n"/>
    </row>
    <row r="14" ht="18" customHeight="1" s="159">
      <c r="B14" s="70" t="inlineStr">
        <is>
          <t>-1st PPAP</t>
        </is>
      </c>
      <c r="C14" s="72" t="n"/>
      <c r="D14" s="32" t="n"/>
      <c r="E14" s="62" t="n"/>
      <c r="J14" s="38" t="n"/>
      <c r="L14" s="40" t="inlineStr">
        <is>
          <t>Annual Volume</t>
        </is>
      </c>
      <c r="N14" s="24" t="n"/>
      <c r="O14" s="335" t="n"/>
      <c r="P14" s="425" t="n"/>
      <c r="Q14" s="426" t="n"/>
    </row>
    <row r="15" ht="18" customHeight="1" s="159">
      <c r="B15" s="165" t="n"/>
      <c r="C15" s="71" t="n"/>
      <c r="D15" s="33" t="n"/>
      <c r="E15" s="62" t="n"/>
      <c r="J15" s="38" t="n"/>
      <c r="L15" s="102" t="inlineStr">
        <is>
          <t>ED&amp;D Engineer to Complete the following:</t>
        </is>
      </c>
      <c r="M15" s="104" t="n"/>
      <c r="N15" s="104" t="n"/>
      <c r="O15" s="104" t="n"/>
      <c r="P15" s="104" t="n"/>
      <c r="Q15" s="105" t="n"/>
    </row>
    <row r="16" ht="18" customHeight="1" s="159">
      <c r="B16" s="63" t="inlineStr">
        <is>
          <t>The following is NOT considered valid for advance ED&amp;D Payment:</t>
        </is>
      </c>
      <c r="C16" s="72" t="n"/>
      <c r="D16" s="32" t="n"/>
      <c r="E16" s="62" t="n"/>
      <c r="J16" s="38" t="n"/>
      <c r="L16" s="40" t="inlineStr">
        <is>
          <t>Reviewed by (ED&amp;D Analyst):</t>
        </is>
      </c>
      <c r="N16" s="24" t="n"/>
      <c r="O16" s="318" t="inlineStr">
        <is>
          <t>aaaaa</t>
        </is>
      </c>
      <c r="P16" s="418" t="n"/>
      <c r="Q16" s="419" t="n"/>
    </row>
    <row r="17" ht="18" customHeight="1" s="159">
      <c r="B17" s="70" t="inlineStr">
        <is>
          <t>- Process Sign-off (PSO) and Production Part Approval Process (PPAP)</t>
        </is>
      </c>
      <c r="C17" s="73" t="n"/>
      <c r="D17" s="32" t="n"/>
      <c r="E17" s="62" t="n"/>
      <c r="J17" s="38" t="n"/>
      <c r="L17" s="40" t="inlineStr">
        <is>
          <t>EPAS Control Number (nafta requisition number)</t>
        </is>
      </c>
      <c r="N17" s="24" t="n"/>
      <c r="O17" s="312" t="inlineStr">
        <is>
          <t>CN</t>
        </is>
      </c>
      <c r="P17" s="421" t="n"/>
      <c r="Q17" s="422" t="n"/>
    </row>
    <row r="18" ht="18.75" customHeight="1" s="159" thickBot="1">
      <c r="B18" s="74" t="inlineStr">
        <is>
          <t>- Corrections to Supplier Design Errors (actions not driven by FCA)</t>
        </is>
      </c>
      <c r="C18" s="75" t="n"/>
      <c r="D18" s="32" t="n"/>
      <c r="E18" s="427" t="n"/>
      <c r="F18" s="2" t="n"/>
      <c r="G18" s="2" t="n"/>
      <c r="H18" s="2" t="n"/>
      <c r="I18" s="2" t="n"/>
      <c r="J18" s="428" t="n"/>
      <c r="L18" s="41" t="inlineStr">
        <is>
          <t>ED&amp;D Tracking Number</t>
        </is>
      </c>
      <c r="M18" s="2" t="n"/>
      <c r="N18" s="42" t="n"/>
      <c r="O18" s="337" t="inlineStr">
        <is>
          <t>xxxx</t>
        </is>
      </c>
      <c r="P18" s="429" t="n"/>
      <c r="Q18" s="430" t="n"/>
    </row>
    <row r="19" ht="18.75" customHeight="1" s="159" thickBot="1">
      <c r="B19" s="266" t="n"/>
      <c r="C19" s="266" t="n"/>
      <c r="D19" s="266" t="n"/>
      <c r="E19" s="266" t="n"/>
      <c r="L19" s="36" t="n"/>
      <c r="N19" s="24" t="n"/>
    </row>
    <row r="20" ht="30" customHeight="1" s="159">
      <c r="B20" s="431" t="inlineStr">
        <is>
          <t>Supplier to Complete (Labor Costs)</t>
        </is>
      </c>
      <c r="C20" s="432" t="inlineStr">
        <is>
          <t>Date role engages</t>
        </is>
      </c>
      <c r="D20" s="432" t="inlineStr">
        <is>
          <t>Date role disengages</t>
        </is>
      </c>
      <c r="E20" s="432" t="inlineStr">
        <is>
          <t>FTE's average</t>
        </is>
      </c>
      <c r="F20" s="432" t="inlineStr">
        <is>
          <t>Physical Location</t>
        </is>
      </c>
      <c r="G20" s="134" t="inlineStr">
        <is>
          <t>CAD</t>
        </is>
      </c>
      <c r="H20" s="135" t="n"/>
      <c r="I20" s="136" t="n"/>
      <c r="J20" s="134" t="inlineStr">
        <is>
          <t xml:space="preserve">Engineering </t>
        </is>
      </c>
      <c r="K20" s="137" t="n"/>
      <c r="L20" s="135" t="n"/>
      <c r="M20" s="136" t="n"/>
      <c r="N20" s="134" t="inlineStr">
        <is>
          <t>Software Developers</t>
        </is>
      </c>
      <c r="O20" s="135" t="n"/>
      <c r="P20" s="135" t="n"/>
      <c r="Q20" s="128" t="n"/>
    </row>
    <row r="21" ht="25.5" customHeight="1" s="159">
      <c r="B21" s="433" t="n"/>
      <c r="C21" s="434" t="n"/>
      <c r="D21" s="434" t="n"/>
      <c r="E21" s="434" t="n"/>
      <c r="F21" s="434" t="n"/>
      <c r="G21" s="216" t="inlineStr">
        <is>
          <t>Time</t>
        </is>
      </c>
      <c r="H21" s="215" t="inlineStr">
        <is>
          <t>Salary fully Fringed</t>
        </is>
      </c>
      <c r="I21" s="129" t="n"/>
      <c r="J21" s="216" t="inlineStr">
        <is>
          <t>Time</t>
        </is>
      </c>
      <c r="K21" s="215" t="n"/>
      <c r="L21" s="217" t="inlineStr">
        <is>
          <t>Salary fully Fringed</t>
        </is>
      </c>
      <c r="M21" s="129" t="n"/>
      <c r="N21" s="216" t="inlineStr">
        <is>
          <t>Time</t>
        </is>
      </c>
      <c r="O21" s="215" t="inlineStr">
        <is>
          <t>Salary fully Fringed</t>
        </is>
      </c>
      <c r="P21" s="130" t="n"/>
      <c r="Q21" s="131" t="inlineStr">
        <is>
          <t>Total</t>
        </is>
      </c>
      <c r="R21" s="325" t="inlineStr">
        <is>
          <t>salary/hourly rate w/o facilities depreciation overheads</t>
        </is>
      </c>
    </row>
    <row r="22" ht="21" customHeight="1" s="159">
      <c r="B22" s="17" t="inlineStr">
        <is>
          <t>List by role/activities</t>
        </is>
      </c>
      <c r="C22" s="20" t="n"/>
      <c r="D22" s="20" t="n"/>
      <c r="E22" s="82" t="n"/>
      <c r="F22" s="86" t="n"/>
      <c r="G22" s="132" t="inlineStr">
        <is>
          <t>[hours]</t>
        </is>
      </c>
      <c r="H22" s="132" t="inlineStr">
        <is>
          <t>[€/hr]</t>
        </is>
      </c>
      <c r="I22" s="133" t="inlineStr">
        <is>
          <t>Total Eng</t>
        </is>
      </c>
      <c r="J22" s="132" t="inlineStr">
        <is>
          <t>[hours]</t>
        </is>
      </c>
      <c r="K22" s="132" t="n"/>
      <c r="L22" s="132" t="inlineStr">
        <is>
          <t>[€/hr]</t>
        </is>
      </c>
      <c r="M22" s="133" t="inlineStr">
        <is>
          <t>Total Tech</t>
        </is>
      </c>
      <c r="N22" s="132" t="inlineStr">
        <is>
          <t>[hours]</t>
        </is>
      </c>
      <c r="O22" s="132" t="inlineStr">
        <is>
          <t>[€/hr]</t>
        </is>
      </c>
      <c r="P22" s="132" t="inlineStr">
        <is>
          <t>Total Tech</t>
        </is>
      </c>
      <c r="Q22" s="131" t="inlineStr">
        <is>
          <t>Cost</t>
        </is>
      </c>
      <c r="R22" s="62" t="n"/>
    </row>
    <row r="23" ht="15" customHeight="1" s="159">
      <c r="B23" s="246" t="n"/>
      <c r="C23" s="248" t="n"/>
      <c r="D23" s="248" t="n"/>
      <c r="E23" s="250" t="n"/>
      <c r="F23" s="565" t="inlineStr">
        <is>
          <t>Project Manager / PM</t>
        </is>
      </c>
      <c r="G23" s="566" t="n">
        <v>0</v>
      </c>
      <c r="H23" s="435" t="n"/>
      <c r="I23" s="436">
        <f>H23*G23</f>
        <v/>
      </c>
      <c r="J23" s="567" t="n">
        <v>0</v>
      </c>
      <c r="K23" s="27" t="n"/>
      <c r="L23" s="435" t="n"/>
      <c r="M23" s="568" t="n">
        <v>0</v>
      </c>
      <c r="N23" s="25" t="n"/>
      <c r="O23" s="435" t="n"/>
      <c r="P23" s="436">
        <f>O23*N23</f>
        <v/>
      </c>
      <c r="Q23" s="437">
        <f>SUM(I23,M23,P23)</f>
        <v/>
      </c>
    </row>
    <row r="24" ht="15" customHeight="1" s="159">
      <c r="B24" s="247" t="n"/>
      <c r="C24" s="249" t="n"/>
      <c r="D24" s="249" t="n"/>
      <c r="E24" s="252" t="n"/>
      <c r="F24" s="569" t="inlineStr">
        <is>
          <t>Engineering Lead – Design (NX/UG)</t>
        </is>
      </c>
      <c r="G24" s="570" t="n">
        <v>0</v>
      </c>
      <c r="H24" s="438" t="n"/>
      <c r="I24" s="439">
        <f>H24*G24</f>
        <v/>
      </c>
      <c r="J24" s="570" t="n">
        <v>0</v>
      </c>
      <c r="K24" s="206" t="n"/>
      <c r="L24" s="438" t="n"/>
      <c r="M24" s="571" t="n">
        <v>0</v>
      </c>
      <c r="N24" s="206" t="n"/>
      <c r="O24" s="438" t="n"/>
      <c r="P24" s="439">
        <f>O24*N24</f>
        <v/>
      </c>
      <c r="Q24" s="440">
        <f>SUM(I24,M24,P24)</f>
        <v/>
      </c>
    </row>
    <row r="25" ht="15" customHeight="1" s="159">
      <c r="B25" s="247" t="n"/>
      <c r="C25" s="249" t="n"/>
      <c r="D25" s="249" t="n"/>
      <c r="E25" s="254" t="n"/>
      <c r="F25" s="569" t="inlineStr">
        <is>
          <t>CAD Engineer (UG/TcAE)</t>
        </is>
      </c>
      <c r="G25" s="570" t="n">
        <v>0</v>
      </c>
      <c r="H25" s="438" t="n"/>
      <c r="I25" s="439">
        <f>H25*G25</f>
        <v/>
      </c>
      <c r="J25" s="570" t="n">
        <v>0</v>
      </c>
      <c r="K25" s="206" t="n"/>
      <c r="L25" s="438" t="n"/>
      <c r="M25" s="571" t="n">
        <v>0</v>
      </c>
      <c r="N25" s="206" t="n"/>
      <c r="O25" s="438" t="n"/>
      <c r="P25" s="439">
        <f>O25*N25</f>
        <v/>
      </c>
      <c r="Q25" s="440">
        <f>SUM(I25,M25,P25)</f>
        <v/>
      </c>
    </row>
    <row r="26" ht="15" customHeight="1" s="159">
      <c r="B26" s="247" t="n"/>
      <c r="C26" s="34" t="n"/>
      <c r="D26" s="34" t="n"/>
      <c r="E26" s="83" t="n"/>
      <c r="F26" s="569" t="inlineStr">
        <is>
          <t>Quality Engineer (SQE)</t>
        </is>
      </c>
      <c r="G26" s="570" t="n">
        <v>0</v>
      </c>
      <c r="H26" s="438" t="n"/>
      <c r="I26" s="439">
        <f>H26*G26</f>
        <v/>
      </c>
      <c r="J26" s="570" t="n">
        <v>0</v>
      </c>
      <c r="K26" s="206" t="n"/>
      <c r="L26" s="438" t="n"/>
      <c r="M26" s="571" t="n">
        <v>0</v>
      </c>
      <c r="N26" s="206" t="n"/>
      <c r="O26" s="438" t="n"/>
      <c r="P26" s="439">
        <f>O26*N26</f>
        <v/>
      </c>
      <c r="Q26" s="440">
        <f>SUM(I26,M26,P26)</f>
        <v/>
      </c>
    </row>
    <row r="27" ht="15" customHeight="1" s="159">
      <c r="B27" s="247" t="n"/>
      <c r="C27" s="34" t="n"/>
      <c r="D27" s="34" t="n"/>
      <c r="E27" s="83" t="n"/>
      <c r="F27" s="569" t="inlineStr">
        <is>
          <t>Test Engineer (DV/PV planning)</t>
        </is>
      </c>
      <c r="G27" s="570" t="n">
        <v>0</v>
      </c>
      <c r="H27" s="438" t="n"/>
      <c r="I27" s="439">
        <f>H27*G27</f>
        <v/>
      </c>
      <c r="J27" s="570" t="n">
        <v>0</v>
      </c>
      <c r="K27" s="206" t="n"/>
      <c r="L27" s="438" t="n"/>
      <c r="M27" s="571" t="n">
        <v>0</v>
      </c>
      <c r="N27" s="206" t="n"/>
      <c r="O27" s="438" t="n"/>
      <c r="P27" s="439">
        <f>O27*N27</f>
        <v/>
      </c>
      <c r="Q27" s="440">
        <f>SUM(I27,M27,P27)</f>
        <v/>
      </c>
    </row>
    <row r="28" ht="15" customHeight="1" s="159">
      <c r="B28" s="247" t="n"/>
      <c r="C28" s="34" t="n"/>
      <c r="D28" s="34" t="n"/>
      <c r="E28" s="83" t="n"/>
      <c r="F28" s="569" t="inlineStr">
        <is>
          <t>Manufacturing / Process Engineer</t>
        </is>
      </c>
      <c r="G28" s="570" t="n">
        <v>0</v>
      </c>
      <c r="H28" s="438" t="n"/>
      <c r="I28" s="439">
        <f>H28*G28</f>
        <v/>
      </c>
      <c r="J28" s="570" t="n">
        <v>0</v>
      </c>
      <c r="K28" s="206" t="n"/>
      <c r="L28" s="438" t="n"/>
      <c r="M28" s="571" t="n">
        <v>0</v>
      </c>
      <c r="N28" s="206" t="n"/>
      <c r="O28" s="438" t="n"/>
      <c r="P28" s="439">
        <f>O28*N28</f>
        <v/>
      </c>
      <c r="Q28" s="440">
        <f>SUM(I28,M28,P28)</f>
        <v/>
      </c>
    </row>
    <row r="29" ht="15" customHeight="1" s="159">
      <c r="B29" s="247" t="n"/>
      <c r="C29" s="34" t="n"/>
      <c r="D29" s="34" t="n"/>
      <c r="E29" s="83" t="n"/>
      <c r="F29" s="87" t="n"/>
      <c r="G29" s="206" t="n"/>
      <c r="H29" s="438" t="n"/>
      <c r="I29" s="439">
        <f>H29*G29</f>
        <v/>
      </c>
      <c r="J29" s="206" t="n"/>
      <c r="K29" s="206" t="n"/>
      <c r="L29" s="438" t="n"/>
      <c r="M29" s="439">
        <f>L29*J29</f>
        <v/>
      </c>
      <c r="N29" s="206" t="n"/>
      <c r="O29" s="438" t="n"/>
      <c r="P29" s="439">
        <f>O29*N29</f>
        <v/>
      </c>
      <c r="Q29" s="440">
        <f>SUM(I29,M29,P29)</f>
        <v/>
      </c>
    </row>
    <row r="30" ht="15" customHeight="1" s="159">
      <c r="B30" s="26" t="n"/>
      <c r="C30" s="34" t="n"/>
      <c r="D30" s="34" t="n"/>
      <c r="E30" s="83" t="n"/>
      <c r="F30" s="87" t="n"/>
      <c r="G30" s="206" t="n"/>
      <c r="H30" s="438" t="n"/>
      <c r="I30" s="439">
        <f>H30*G30</f>
        <v/>
      </c>
      <c r="J30" s="206" t="n"/>
      <c r="K30" s="206" t="n"/>
      <c r="L30" s="438" t="n"/>
      <c r="M30" s="439">
        <f>L30*J30</f>
        <v/>
      </c>
      <c r="N30" s="206" t="n"/>
      <c r="O30" s="438" t="n"/>
      <c r="P30" s="439">
        <f>O30*N30</f>
        <v/>
      </c>
      <c r="Q30" s="440">
        <f>SUM(I30,M30,P30)</f>
        <v/>
      </c>
    </row>
    <row r="31" ht="15" customHeight="1" s="159">
      <c r="B31" s="26" t="n"/>
      <c r="C31" s="34" t="n"/>
      <c r="D31" s="34" t="n"/>
      <c r="E31" s="83" t="n"/>
      <c r="F31" s="87" t="n"/>
      <c r="G31" s="206" t="n"/>
      <c r="H31" s="438" t="n"/>
      <c r="I31" s="439">
        <f>H31*G31</f>
        <v/>
      </c>
      <c r="J31" s="206" t="n"/>
      <c r="K31" s="206" t="n"/>
      <c r="L31" s="438" t="n"/>
      <c r="M31" s="439">
        <f>L31*J31</f>
        <v/>
      </c>
      <c r="N31" s="206" t="n"/>
      <c r="O31" s="438" t="n"/>
      <c r="P31" s="439">
        <f>O31*N31</f>
        <v/>
      </c>
      <c r="Q31" s="440">
        <f>SUM(I31,M31,P31)</f>
        <v/>
      </c>
    </row>
    <row r="32" ht="15" customHeight="1" s="159">
      <c r="B32" s="26" t="n"/>
      <c r="C32" s="34" t="n"/>
      <c r="D32" s="34" t="n"/>
      <c r="E32" s="83" t="n"/>
      <c r="F32" s="87" t="n"/>
      <c r="G32" s="206" t="n"/>
      <c r="H32" s="438" t="n"/>
      <c r="I32" s="439">
        <f>H32*G32</f>
        <v/>
      </c>
      <c r="J32" s="206" t="n"/>
      <c r="K32" s="206" t="n"/>
      <c r="L32" s="438" t="n"/>
      <c r="M32" s="439">
        <f>L32*J32</f>
        <v/>
      </c>
      <c r="N32" s="206" t="n"/>
      <c r="O32" s="438" t="n"/>
      <c r="P32" s="439">
        <f>O32*N32</f>
        <v/>
      </c>
      <c r="Q32" s="440">
        <f>SUM(I32,M32,P32)</f>
        <v/>
      </c>
    </row>
    <row r="33" ht="15" customHeight="1" s="159">
      <c r="B33" s="26" t="n"/>
      <c r="C33" s="34" t="n"/>
      <c r="D33" s="34" t="n"/>
      <c r="E33" s="83" t="n"/>
      <c r="F33" s="87" t="n"/>
      <c r="G33" s="206" t="n"/>
      <c r="H33" s="438" t="n"/>
      <c r="I33" s="439">
        <f>H33*G33</f>
        <v/>
      </c>
      <c r="J33" s="206" t="n"/>
      <c r="K33" s="206" t="n"/>
      <c r="L33" s="438" t="n"/>
      <c r="M33" s="439">
        <f>L33*J33</f>
        <v/>
      </c>
      <c r="N33" s="206" t="n"/>
      <c r="O33" s="438" t="n"/>
      <c r="P33" s="439">
        <f>O33*N33</f>
        <v/>
      </c>
      <c r="Q33" s="440">
        <f>SUM(I33,M33,P33)</f>
        <v/>
      </c>
    </row>
    <row r="34" ht="15" customHeight="1" s="159">
      <c r="B34" s="26" t="n"/>
      <c r="C34" s="34" t="n"/>
      <c r="D34" s="34" t="n"/>
      <c r="E34" s="83" t="n"/>
      <c r="F34" s="87" t="n"/>
      <c r="G34" s="206" t="n"/>
      <c r="H34" s="438" t="n"/>
      <c r="I34" s="439">
        <f>H34*G34</f>
        <v/>
      </c>
      <c r="J34" s="206" t="n"/>
      <c r="K34" s="206" t="n"/>
      <c r="L34" s="438" t="n"/>
      <c r="M34" s="439">
        <f>L34*J34</f>
        <v/>
      </c>
      <c r="N34" s="206" t="n"/>
      <c r="O34" s="438" t="n"/>
      <c r="P34" s="439">
        <f>O34*N34</f>
        <v/>
      </c>
      <c r="Q34" s="440">
        <f>SUM(I34,M34,P34)</f>
        <v/>
      </c>
    </row>
    <row r="35" ht="15" customHeight="1" s="159">
      <c r="B35" s="26" t="n"/>
      <c r="C35" s="34" t="n"/>
      <c r="D35" s="34" t="n"/>
      <c r="E35" s="83" t="n"/>
      <c r="F35" s="87" t="n"/>
      <c r="G35" s="206" t="n"/>
      <c r="H35" s="438" t="n"/>
      <c r="I35" s="439">
        <f>H35*G35</f>
        <v/>
      </c>
      <c r="J35" s="206" t="n"/>
      <c r="K35" s="206" t="n"/>
      <c r="L35" s="438" t="n"/>
      <c r="M35" s="439">
        <f>L35*J35</f>
        <v/>
      </c>
      <c r="N35" s="206" t="n"/>
      <c r="O35" s="438" t="n"/>
      <c r="P35" s="439">
        <f>O35*N35</f>
        <v/>
      </c>
      <c r="Q35" s="440">
        <f>SUM(I35,M35,P35)</f>
        <v/>
      </c>
    </row>
    <row r="36" ht="15" customHeight="1" s="159">
      <c r="B36" s="26" t="n"/>
      <c r="C36" s="34" t="n"/>
      <c r="D36" s="34" t="n"/>
      <c r="E36" s="83" t="n"/>
      <c r="F36" s="87" t="n"/>
      <c r="G36" s="206" t="n"/>
      <c r="H36" s="438" t="n"/>
      <c r="I36" s="439">
        <f>H36*G36</f>
        <v/>
      </c>
      <c r="J36" s="206" t="n"/>
      <c r="K36" s="206" t="n"/>
      <c r="L36" s="438" t="n"/>
      <c r="M36" s="439">
        <f>L36*J36</f>
        <v/>
      </c>
      <c r="N36" s="206" t="n"/>
      <c r="O36" s="438" t="n"/>
      <c r="P36" s="439">
        <f>O36*N36</f>
        <v/>
      </c>
      <c r="Q36" s="440">
        <f>SUM(I36,M36,P36)</f>
        <v/>
      </c>
    </row>
    <row r="37" ht="15" customHeight="1" s="159">
      <c r="B37" s="26" t="n"/>
      <c r="C37" s="34" t="n"/>
      <c r="D37" s="34" t="n"/>
      <c r="E37" s="84" t="n"/>
      <c r="F37" s="88" t="n"/>
      <c r="G37" s="206" t="n"/>
      <c r="H37" s="438" t="n"/>
      <c r="I37" s="439">
        <f>H37*G37</f>
        <v/>
      </c>
      <c r="J37" s="206" t="n"/>
      <c r="K37" s="206" t="n"/>
      <c r="L37" s="438" t="n"/>
      <c r="M37" s="439">
        <f>L37*J37</f>
        <v/>
      </c>
      <c r="N37" s="206" t="n"/>
      <c r="O37" s="438" t="n"/>
      <c r="P37" s="439">
        <f>O37*N37</f>
        <v/>
      </c>
      <c r="Q37" s="440">
        <f>SUM(I37,M37,P37)</f>
        <v/>
      </c>
    </row>
    <row r="38" ht="15" customHeight="1" s="159" thickBot="1">
      <c r="B38" s="12" t="inlineStr">
        <is>
          <t>Total</t>
        </is>
      </c>
      <c r="C38" s="211" t="n"/>
      <c r="D38" s="211" t="n"/>
      <c r="E38" s="85" t="n"/>
      <c r="F38" s="89" t="n"/>
      <c r="G38" s="3">
        <f>SUM(G23:G37)</f>
        <v/>
      </c>
      <c r="H38" s="441" t="n"/>
      <c r="I38" s="442">
        <f>SUM(I23:I37)</f>
        <v/>
      </c>
      <c r="J38" s="3">
        <f>SUM(J23:J37)</f>
        <v/>
      </c>
      <c r="K38" s="3" t="n"/>
      <c r="L38" s="441" t="n"/>
      <c r="M38" s="442">
        <f>SUM(M23:M37)</f>
        <v/>
      </c>
      <c r="N38" s="3">
        <f>SUM(N23:N37)</f>
        <v/>
      </c>
      <c r="O38" s="441" t="n"/>
      <c r="P38" s="442">
        <f>SUM(P23:P37)</f>
        <v/>
      </c>
      <c r="Q38" s="443">
        <f>SUM(Q23:Q37)</f>
        <v/>
      </c>
    </row>
    <row r="39" ht="56.25" customHeight="1" s="159" thickBot="1">
      <c r="B39" s="13" t="n"/>
      <c r="C39" s="18" t="n"/>
      <c r="D39" s="18" t="n"/>
      <c r="E39" s="18" t="n"/>
      <c r="F39" s="4" t="n"/>
      <c r="G39" s="5" t="n"/>
      <c r="H39" s="444" t="n"/>
      <c r="I39" s="4" t="n"/>
      <c r="J39" s="5" t="n"/>
      <c r="K39" s="5" t="n"/>
      <c r="L39" s="444" t="n"/>
      <c r="M39" s="4" t="n"/>
      <c r="N39" s="7" t="n"/>
      <c r="O39" s="444" t="n"/>
      <c r="S39" s="445" t="n"/>
    </row>
    <row r="40" ht="15" customHeight="1" s="159">
      <c r="B40" s="114" t="inlineStr">
        <is>
          <t>Supplier to Complete (Testing related Costs)</t>
        </is>
      </c>
      <c r="C40" s="115" t="inlineStr">
        <is>
          <t>Yes</t>
        </is>
      </c>
      <c r="D40" s="115" t="inlineStr">
        <is>
          <t>No</t>
        </is>
      </c>
      <c r="E40" s="116" t="n"/>
      <c r="F40" s="116" t="n"/>
      <c r="G40" s="116" t="n"/>
      <c r="H40" s="117" t="n"/>
      <c r="I40" s="35" t="n"/>
      <c r="J40" s="109" t="inlineStr">
        <is>
          <t>Supplier to Complete (Design Mock Up Costs)</t>
        </is>
      </c>
      <c r="K40" s="110" t="n"/>
      <c r="L40" s="110" t="n"/>
      <c r="M40" s="110" t="n"/>
      <c r="N40" s="110" t="n"/>
      <c r="O40" s="110" t="n"/>
      <c r="P40" s="110" t="n"/>
      <c r="Q40" s="108" t="n"/>
    </row>
    <row r="41" ht="15" customHeight="1" s="159">
      <c r="B41" s="446" t="n"/>
      <c r="C41" s="447" t="n"/>
      <c r="D41" s="447" t="n"/>
      <c r="E41" s="119" t="inlineStr">
        <is>
          <t>type of</t>
        </is>
      </c>
      <c r="F41" s="119" t="inlineStr">
        <is>
          <t xml:space="preserve"># of </t>
        </is>
      </c>
      <c r="G41" s="119" t="inlineStr">
        <is>
          <t>Cost</t>
        </is>
      </c>
      <c r="H41" s="120" t="n"/>
      <c r="I41" s="19" t="n"/>
      <c r="J41" s="45" t="n"/>
      <c r="K41" s="164" t="inlineStr">
        <is>
          <t xml:space="preserve"> Properties/Parts required to complete design (i.e. Stereolitography support parts)</t>
        </is>
      </c>
      <c r="L41" s="125" t="n"/>
      <c r="M41" s="125" t="n"/>
      <c r="N41" s="126" t="n"/>
      <c r="O41" s="126" t="n"/>
      <c r="P41" s="126" t="n"/>
      <c r="Q41" s="46" t="n"/>
      <c r="S41" s="445" t="n"/>
    </row>
    <row r="42" ht="23.25" customHeight="1" s="159">
      <c r="B42" s="448" t="n"/>
      <c r="C42" s="434" t="n"/>
      <c r="D42" s="434" t="n"/>
      <c r="E42" s="121" t="inlineStr">
        <is>
          <t>test</t>
        </is>
      </c>
      <c r="F42" s="121" t="inlineStr">
        <is>
          <t>Tests</t>
        </is>
      </c>
      <c r="G42" s="121" t="inlineStr">
        <is>
          <t>per Test</t>
        </is>
      </c>
      <c r="H42" s="122" t="inlineStr">
        <is>
          <t>Cost</t>
        </is>
      </c>
      <c r="J42" s="163" t="inlineStr">
        <is>
          <t>Design Validation Parts</t>
        </is>
      </c>
      <c r="K42" s="14" t="n"/>
      <c r="L42" s="14" t="n"/>
      <c r="M42" s="127" t="inlineStr">
        <is>
          <t>Purpose</t>
        </is>
      </c>
      <c r="N42" s="44" t="n"/>
      <c r="O42" s="95" t="inlineStr">
        <is>
          <t>[QTY]</t>
        </is>
      </c>
      <c r="P42" s="95" t="inlineStr">
        <is>
          <t>[€/pc]</t>
        </is>
      </c>
      <c r="Q42" s="11" t="inlineStr">
        <is>
          <t>Cost</t>
        </is>
      </c>
    </row>
    <row r="43" ht="15" customHeight="1" s="159">
      <c r="B43" s="449" t="n"/>
      <c r="C43" s="450" t="n"/>
      <c r="D43" s="451" t="n"/>
      <c r="E43" s="94" t="n"/>
      <c r="F43" s="220" t="n"/>
      <c r="G43" s="452" t="n"/>
      <c r="H43" s="453">
        <f>G43*F43</f>
        <v/>
      </c>
      <c r="J43" s="454" t="n"/>
      <c r="K43" s="450" t="n"/>
      <c r="L43" s="451" t="n"/>
      <c r="M43" s="455" t="n"/>
      <c r="N43" s="456" t="n"/>
      <c r="O43" s="220" t="n"/>
      <c r="P43" s="457" t="n"/>
      <c r="Q43" s="458">
        <f>P43*O43</f>
        <v/>
      </c>
    </row>
    <row r="44" ht="15" customHeight="1" s="159">
      <c r="B44" s="459" t="n"/>
      <c r="C44" s="460" t="n"/>
      <c r="D44" s="461" t="n"/>
      <c r="E44" s="139" t="n"/>
      <c r="F44" s="221" t="n"/>
      <c r="G44" s="462" t="n"/>
      <c r="H44" s="463">
        <f>G44*F44</f>
        <v/>
      </c>
      <c r="J44" s="464" t="n"/>
      <c r="K44" s="421" t="n"/>
      <c r="L44" s="465" t="n"/>
      <c r="M44" s="466" t="n"/>
      <c r="N44" s="467" t="n"/>
      <c r="O44" s="468" t="n"/>
      <c r="P44" s="469" t="n"/>
      <c r="Q44" s="470">
        <f>P44*O44</f>
        <v/>
      </c>
    </row>
    <row r="45" ht="15" customHeight="1" s="159">
      <c r="B45" s="471" t="inlineStr">
        <is>
          <t>Design validation testing subtotals</t>
        </is>
      </c>
      <c r="C45" s="418" t="n"/>
      <c r="D45" s="472" t="n"/>
      <c r="E45" s="138" t="n"/>
      <c r="F45" s="473" t="n"/>
      <c r="G45" s="474" t="n"/>
      <c r="H45" s="475">
        <f>SUM(H43:H44)</f>
        <v/>
      </c>
      <c r="J45" s="163" t="inlineStr">
        <is>
          <t>Process Validation Parts</t>
        </is>
      </c>
      <c r="K45" s="14" t="n"/>
      <c r="L45" s="14" t="n"/>
      <c r="M45" s="476" t="inlineStr">
        <is>
          <t>Purpose</t>
        </is>
      </c>
      <c r="N45" s="477" t="n"/>
      <c r="O45" s="478" t="inlineStr">
        <is>
          <t>[QTY]</t>
        </is>
      </c>
      <c r="P45" s="479" t="inlineStr">
        <is>
          <t>[€/pc]</t>
        </is>
      </c>
      <c r="Q45" s="480" t="inlineStr">
        <is>
          <t>Cost</t>
        </is>
      </c>
    </row>
    <row r="46" ht="15" customHeight="1" s="159">
      <c r="B46" s="481" t="n"/>
      <c r="C46" s="421" t="n"/>
      <c r="D46" s="465" t="n"/>
      <c r="E46" s="207" t="n"/>
      <c r="F46" s="468" t="n"/>
      <c r="G46" s="482" t="n"/>
      <c r="H46" s="483">
        <f>G46*F46</f>
        <v/>
      </c>
      <c r="J46" s="355" t="n"/>
      <c r="K46" s="356" t="n"/>
      <c r="L46" s="357" t="n"/>
      <c r="M46" s="455" t="n"/>
      <c r="N46" s="456" t="n"/>
      <c r="O46" s="220" t="n"/>
      <c r="P46" s="457" t="n"/>
      <c r="Q46" s="458">
        <f>P46*O46</f>
        <v/>
      </c>
    </row>
    <row r="47" ht="15" customHeight="1" s="159">
      <c r="B47" s="459" t="n"/>
      <c r="C47" s="460" t="n"/>
      <c r="D47" s="461" t="n"/>
      <c r="E47" s="139" t="n"/>
      <c r="F47" s="484" t="n"/>
      <c r="G47" s="462" t="n"/>
      <c r="H47" s="463">
        <f>G47*F47</f>
        <v/>
      </c>
      <c r="J47" s="361" t="n"/>
      <c r="K47" s="362" t="n"/>
      <c r="L47" s="363" t="n"/>
      <c r="M47" s="466" t="n"/>
      <c r="N47" s="467" t="n"/>
      <c r="O47" s="468" t="n"/>
      <c r="P47" s="469" t="n"/>
      <c r="Q47" s="470">
        <f>P47*O47</f>
        <v/>
      </c>
    </row>
    <row r="48" ht="15" customHeight="1" s="159">
      <c r="B48" s="471" t="inlineStr">
        <is>
          <t>Self-Certification testing subtotals</t>
        </is>
      </c>
      <c r="C48" s="418" t="n"/>
      <c r="D48" s="472" t="n"/>
      <c r="E48" s="138" t="n"/>
      <c r="F48" s="473" t="n"/>
      <c r="G48" s="474" t="n"/>
      <c r="H48" s="475">
        <f>SUM(H46:H47)</f>
        <v/>
      </c>
      <c r="J48" s="361" t="n"/>
      <c r="K48" s="362" t="n"/>
      <c r="L48" s="363" t="n"/>
      <c r="M48" s="485" t="n"/>
      <c r="N48" s="486" t="n"/>
      <c r="O48" s="484" t="n"/>
      <c r="P48" s="487" t="n"/>
      <c r="Q48" s="458">
        <f>P48*O48</f>
        <v/>
      </c>
    </row>
    <row r="49" ht="15" customHeight="1" s="159" thickBot="1">
      <c r="B49" s="488" t="n"/>
      <c r="C49" s="421" t="n"/>
      <c r="D49" s="465" t="n"/>
      <c r="E49" s="208" t="n"/>
      <c r="F49" s="468" t="n"/>
      <c r="G49" s="482" t="n"/>
      <c r="H49" s="483">
        <f>G49*F49</f>
        <v/>
      </c>
      <c r="J49" s="209" t="inlineStr">
        <is>
          <t>Total</t>
        </is>
      </c>
      <c r="K49" s="210" t="n"/>
      <c r="L49" s="210" t="n"/>
      <c r="M49" s="489" t="n"/>
      <c r="N49" s="490" t="n"/>
      <c r="O49" s="490" t="n"/>
      <c r="P49" s="491" t="n"/>
      <c r="Q49" s="492">
        <f>SUM(Q40:Q48)</f>
        <v/>
      </c>
    </row>
    <row r="50" ht="15" customHeight="1" s="159">
      <c r="B50" s="488" t="n"/>
      <c r="C50" s="421" t="n"/>
      <c r="D50" s="465" t="n"/>
      <c r="E50" s="208" t="n"/>
      <c r="F50" s="468" t="n"/>
      <c r="G50" s="482" t="n"/>
      <c r="H50" s="483">
        <f>G50*F50</f>
        <v/>
      </c>
      <c r="J50" s="18" t="n"/>
      <c r="K50" s="18" t="n"/>
      <c r="L50" s="18" t="n"/>
      <c r="M50" s="18" t="n"/>
      <c r="Q50" s="445" t="n"/>
    </row>
    <row r="51" ht="15" customHeight="1" s="159" thickBot="1">
      <c r="B51" s="488" t="n"/>
      <c r="C51" s="421" t="n"/>
      <c r="D51" s="465" t="n"/>
      <c r="E51" s="208" t="n"/>
      <c r="F51" s="468" t="n"/>
      <c r="G51" s="482" t="n"/>
      <c r="H51" s="483">
        <f>G51*F51</f>
        <v/>
      </c>
      <c r="J51" s="368" t="n"/>
      <c r="M51" s="152" t="n"/>
      <c r="N51" s="153" t="n"/>
      <c r="O51" s="154" t="n"/>
      <c r="P51" s="493" t="n"/>
      <c r="Q51" s="156" t="n"/>
    </row>
    <row r="52" ht="15" customHeight="1" s="159">
      <c r="B52" s="459" t="n"/>
      <c r="C52" s="460" t="n"/>
      <c r="D52" s="461" t="n"/>
      <c r="E52" s="139" t="n"/>
      <c r="F52" s="484" t="n"/>
      <c r="G52" s="462" t="n"/>
      <c r="H52" s="463">
        <f>G52*F52</f>
        <v/>
      </c>
      <c r="J52" s="212" t="inlineStr">
        <is>
          <t xml:space="preserve">FCA to identify quantities, Supplier to Complete </t>
        </is>
      </c>
      <c r="K52" s="213" t="n"/>
      <c r="L52" s="213" t="n"/>
      <c r="M52" s="213" t="n"/>
      <c r="N52" s="213" t="n"/>
      <c r="O52" s="213" t="n"/>
      <c r="P52" s="213" t="n"/>
      <c r="Q52" s="214" t="n"/>
    </row>
    <row r="53" ht="15" customHeight="1" s="159">
      <c r="B53" s="471" t="inlineStr">
        <is>
          <t>Homologation testing subtotals (where applicable)</t>
        </is>
      </c>
      <c r="C53" s="418" t="n"/>
      <c r="D53" s="472" t="n"/>
      <c r="E53" s="138" t="n"/>
      <c r="F53" s="473" t="n"/>
      <c r="G53" s="474" t="n"/>
      <c r="H53" s="475">
        <f>SUM(H49:H52)</f>
        <v/>
      </c>
      <c r="J53" s="45" t="n"/>
      <c r="K53" s="125" t="inlineStr">
        <is>
          <t xml:space="preserve"> Properties/Parts required to complete FCA design (previously ordered by SK-F and other)</t>
        </is>
      </c>
      <c r="L53" s="157" t="n"/>
      <c r="M53" s="125" t="n"/>
      <c r="N53" s="126" t="n"/>
      <c r="O53" s="126" t="n"/>
      <c r="P53" s="126" t="n"/>
      <c r="Q53" s="46" t="n"/>
    </row>
    <row r="54" ht="15" customHeight="1" s="159" thickBot="1">
      <c r="B54" s="494" t="inlineStr">
        <is>
          <t>Total</t>
        </is>
      </c>
      <c r="C54" s="490" t="n"/>
      <c r="D54" s="491" t="n"/>
      <c r="E54" s="123" t="n"/>
      <c r="F54" s="495" t="n"/>
      <c r="G54" s="496" t="n"/>
      <c r="H54" s="497">
        <f>SUM(H45,H48,H53)</f>
        <v/>
      </c>
      <c r="J54" s="158" t="n"/>
      <c r="K54" s="14" t="n"/>
      <c r="L54" s="14" t="n"/>
      <c r="M54" s="127" t="n"/>
      <c r="N54" s="44" t="n"/>
      <c r="O54" s="95" t="n"/>
      <c r="P54" s="95" t="n"/>
      <c r="Q54" s="11" t="n"/>
    </row>
    <row r="55" ht="15" customHeight="1" s="159">
      <c r="G55" s="498" t="n"/>
      <c r="H55" s="498" t="n"/>
      <c r="J55" s="222" t="inlineStr">
        <is>
          <t>Design Validation Parts</t>
        </is>
      </c>
      <c r="K55" s="499" t="n"/>
      <c r="L55" s="499" t="n"/>
      <c r="M55" s="476" t="inlineStr">
        <is>
          <t>Purpose</t>
        </is>
      </c>
      <c r="N55" s="477" t="n"/>
      <c r="O55" s="478" t="inlineStr">
        <is>
          <t>[QTY]</t>
        </is>
      </c>
      <c r="P55" s="478" t="inlineStr">
        <is>
          <t>[€/pc]</t>
        </is>
      </c>
      <c r="Q55" s="500" t="inlineStr">
        <is>
          <t>Cost</t>
        </is>
      </c>
    </row>
    <row r="56" ht="15" customHeight="1" s="159">
      <c r="B56" s="160" t="n"/>
      <c r="C56" s="161" t="n"/>
      <c r="D56" s="161" t="n"/>
      <c r="E56" s="161" t="n"/>
      <c r="F56" s="501" t="n"/>
      <c r="I56" s="162" t="n"/>
      <c r="J56" s="355" t="n"/>
      <c r="K56" s="502" t="n"/>
      <c r="L56" s="503" t="n"/>
      <c r="M56" s="455" t="n"/>
      <c r="N56" s="456" t="n"/>
      <c r="O56" s="220" t="n"/>
      <c r="P56" s="457" t="n"/>
      <c r="Q56" s="458">
        <f>P56*O56</f>
        <v/>
      </c>
    </row>
    <row r="57" ht="15" customHeight="1" s="159">
      <c r="J57" s="361" t="n"/>
      <c r="K57" s="504" t="n"/>
      <c r="L57" s="505" t="n"/>
      <c r="M57" s="466" t="n"/>
      <c r="N57" s="467" t="n"/>
      <c r="O57" s="468" t="n"/>
      <c r="P57" s="469" t="n"/>
      <c r="Q57" s="470" t="n"/>
    </row>
    <row r="58" ht="15" customHeight="1" s="159">
      <c r="J58" s="361" t="n"/>
      <c r="K58" s="504" t="n"/>
      <c r="L58" s="505" t="n"/>
      <c r="M58" s="485" t="n"/>
      <c r="N58" s="486" t="n"/>
      <c r="O58" s="484" t="n"/>
      <c r="P58" s="487" t="n"/>
      <c r="Q58" s="463" t="n"/>
    </row>
    <row r="59" ht="15" customHeight="1" s="159">
      <c r="J59" s="222" t="inlineStr">
        <is>
          <t>Process Validation Parts</t>
        </is>
      </c>
      <c r="K59" s="499" t="n"/>
      <c r="L59" s="499" t="n"/>
      <c r="M59" s="476" t="inlineStr">
        <is>
          <t>Purpose</t>
        </is>
      </c>
      <c r="N59" s="477" t="n"/>
      <c r="O59" s="478" t="inlineStr">
        <is>
          <t>[QTY]</t>
        </is>
      </c>
      <c r="P59" s="479" t="inlineStr">
        <is>
          <t>[€/pc]</t>
        </is>
      </c>
      <c r="Q59" s="480" t="inlineStr">
        <is>
          <t>Cost</t>
        </is>
      </c>
    </row>
    <row r="60" ht="15" customHeight="1" s="159">
      <c r="A60" s="572" t="inlineStr">
        <is>
          <t>⚠️ 虚拟数据，仅供流程演示。蓝色=已自动填入；黄色=待工程师和财务填写。CDS/开发计划缺失，时间节点暂无法确定。</t>
        </is>
      </c>
      <c r="J60" s="355" t="n"/>
      <c r="K60" s="502" t="n"/>
      <c r="L60" s="503" t="n"/>
      <c r="M60" s="455" t="n"/>
      <c r="N60" s="456" t="n"/>
      <c r="O60" s="220" t="n"/>
      <c r="P60" s="457" t="n"/>
      <c r="Q60" s="458">
        <f>P60*O60</f>
        <v/>
      </c>
    </row>
    <row r="61" ht="15" customHeight="1" s="159">
      <c r="J61" s="361" t="n"/>
      <c r="K61" s="504" t="n"/>
      <c r="L61" s="505" t="n"/>
      <c r="M61" s="466" t="n"/>
      <c r="N61" s="467" t="n"/>
      <c r="O61" s="468" t="n"/>
      <c r="P61" s="469" t="n"/>
      <c r="Q61" s="470">
        <f>P61*O61</f>
        <v/>
      </c>
    </row>
    <row r="62" ht="15" customHeight="1" s="159">
      <c r="J62" s="361" t="n"/>
      <c r="K62" s="504" t="n"/>
      <c r="L62" s="505" t="n"/>
      <c r="M62" s="485" t="n"/>
      <c r="N62" s="486" t="n"/>
      <c r="O62" s="484" t="n"/>
      <c r="P62" s="487" t="n"/>
      <c r="Q62" s="458">
        <f>P62*O62</f>
        <v/>
      </c>
    </row>
    <row r="63" ht="15" customHeight="1" s="159" thickBot="1">
      <c r="J63" s="209" t="inlineStr">
        <is>
          <t>Total</t>
        </is>
      </c>
      <c r="K63" s="506" t="n"/>
      <c r="L63" s="506" t="n"/>
      <c r="M63" s="506" t="n"/>
      <c r="N63" s="507" t="n"/>
      <c r="O63" s="507" t="n"/>
      <c r="P63" s="508" t="n"/>
      <c r="Q63" s="509">
        <f>SUM(Q52:Q62)</f>
        <v/>
      </c>
    </row>
    <row r="64" ht="15" customHeight="1" s="159">
      <c r="J64" s="18" t="n"/>
      <c r="K64" s="18" t="n"/>
      <c r="L64" s="18" t="n"/>
      <c r="M64" s="18" t="n"/>
    </row>
    <row r="65" ht="15" customHeight="1" s="159" thickBot="1">
      <c r="J65" s="18" t="n"/>
      <c r="K65" s="18" t="n"/>
      <c r="L65" s="18" t="n"/>
      <c r="M65" s="18" t="n"/>
    </row>
    <row r="66" ht="15" customHeight="1" s="159" thickBot="1">
      <c r="B66" s="112" t="inlineStr">
        <is>
          <t>Grand Total</t>
        </is>
      </c>
      <c r="C66" s="113" t="n"/>
      <c r="D66" s="113" t="n"/>
      <c r="E66" s="113" t="n"/>
      <c r="F66" s="510">
        <f>$Q$38+$Q$63+$H$54+Q63+Q49</f>
        <v/>
      </c>
      <c r="G66" s="511" t="n"/>
      <c r="H66" s="512" t="n"/>
      <c r="J66" s="18" t="n"/>
      <c r="K66" s="18" t="n"/>
      <c r="L66" s="18" t="n"/>
      <c r="M66" s="18" t="n"/>
    </row>
    <row r="67" ht="15" customHeight="1" s="159">
      <c r="J67" s="18" t="n"/>
      <c r="K67" s="18" t="n"/>
      <c r="L67" s="18" t="n"/>
      <c r="M67" s="18" t="n"/>
    </row>
    <row r="68" ht="15" customHeight="1" s="159" thickBot="1"/>
    <row r="69" ht="15" customHeight="1" s="159">
      <c r="B69" s="109" t="inlineStr">
        <is>
          <t>Supplier to Complete</t>
        </is>
      </c>
      <c r="C69" s="110" t="n"/>
      <c r="D69" s="110" t="n"/>
      <c r="E69" s="111" t="n"/>
      <c r="F69" s="111" t="n"/>
      <c r="G69" s="111" t="n"/>
      <c r="H69" s="111" t="n"/>
      <c r="I69" s="111" t="n"/>
      <c r="J69" s="111" t="n"/>
      <c r="K69" s="377" t="n"/>
      <c r="L69" s="513" t="n"/>
      <c r="N69" s="514" t="inlineStr">
        <is>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is>
      </c>
      <c r="O69" s="515" t="n"/>
      <c r="P69" s="516" t="n"/>
    </row>
    <row r="70" ht="15" customHeight="1" s="159">
      <c r="B70" s="517" t="inlineStr">
        <is>
          <t>Team Roster</t>
        </is>
      </c>
      <c r="C70" s="518" t="n"/>
      <c r="D70" s="518" t="n"/>
      <c r="E70" s="518" t="n"/>
      <c r="F70" s="518" t="n"/>
      <c r="G70" s="518" t="n"/>
      <c r="H70" s="519" t="n"/>
      <c r="I70" s="118" t="inlineStr">
        <is>
          <t>Role</t>
        </is>
      </c>
      <c r="J70" s="124" t="inlineStr">
        <is>
          <t>Hours</t>
        </is>
      </c>
      <c r="K70" s="520" t="inlineStr">
        <is>
          <t>Years Experience</t>
        </is>
      </c>
      <c r="L70" s="521" t="n"/>
      <c r="N70" s="522" t="n"/>
      <c r="P70" s="523" t="n"/>
    </row>
    <row r="71" ht="15" customHeight="1" s="159">
      <c r="B71" s="524" t="n"/>
      <c r="C71" s="450" t="n"/>
      <c r="D71" s="450" t="n"/>
      <c r="E71" s="450" t="n"/>
      <c r="F71" s="450" t="n"/>
      <c r="G71" s="450" t="n"/>
      <c r="H71" s="451" t="n"/>
      <c r="I71" s="91" t="n"/>
      <c r="J71" s="47" t="n"/>
      <c r="K71" s="525" t="n"/>
      <c r="L71" s="526" t="n"/>
      <c r="N71" s="522" t="n"/>
      <c r="P71" s="523" t="n"/>
    </row>
    <row r="72" ht="15" customHeight="1" s="159">
      <c r="B72" s="192" t="n"/>
      <c r="C72" s="405" t="n"/>
      <c r="D72" s="405" t="n"/>
      <c r="E72" s="405" t="n"/>
      <c r="F72" s="405" t="n"/>
      <c r="G72" s="405" t="n"/>
      <c r="H72" s="406" t="n"/>
      <c r="I72" s="193" t="n"/>
      <c r="J72" s="87" t="n"/>
      <c r="K72" s="527" t="n"/>
      <c r="L72" s="422" t="n"/>
      <c r="N72" s="522" t="n"/>
      <c r="P72" s="523" t="n"/>
    </row>
    <row r="73" ht="15" customHeight="1" s="159">
      <c r="B73" s="192" t="n"/>
      <c r="C73" s="405" t="n"/>
      <c r="D73" s="405" t="n"/>
      <c r="E73" s="405" t="n"/>
      <c r="F73" s="405" t="n"/>
      <c r="G73" s="405" t="n"/>
      <c r="H73" s="406" t="n"/>
      <c r="I73" s="93" t="n"/>
      <c r="J73" s="87" t="n"/>
      <c r="K73" s="527" t="n"/>
      <c r="L73" s="422" t="n"/>
      <c r="N73" s="522" t="n"/>
      <c r="P73" s="523" t="n"/>
    </row>
    <row r="74" ht="15" customHeight="1" s="159">
      <c r="B74" s="92" t="n"/>
      <c r="C74" s="405" t="n"/>
      <c r="D74" s="405" t="n"/>
      <c r="E74" s="405" t="n"/>
      <c r="F74" s="405" t="n"/>
      <c r="G74" s="405" t="n"/>
      <c r="H74" s="406" t="n"/>
      <c r="I74" s="93" t="n"/>
      <c r="J74" s="87" t="n"/>
      <c r="K74" s="527" t="n"/>
      <c r="L74" s="422" t="n"/>
      <c r="N74" s="522" t="n"/>
      <c r="P74" s="523" t="n"/>
    </row>
    <row r="75" ht="15" customHeight="1" s="159">
      <c r="B75" s="528" t="n"/>
      <c r="C75" s="421" t="n"/>
      <c r="D75" s="421" t="n"/>
      <c r="E75" s="421" t="n"/>
      <c r="F75" s="421" t="n"/>
      <c r="G75" s="421" t="n"/>
      <c r="H75" s="465" t="n"/>
      <c r="I75" s="87" t="n"/>
      <c r="J75" s="87" t="n"/>
      <c r="K75" s="527" t="n"/>
      <c r="L75" s="422" t="n"/>
      <c r="N75" s="522" t="n"/>
      <c r="P75" s="523" t="n"/>
    </row>
    <row r="76" ht="15" customHeight="1" s="159">
      <c r="B76" s="528" t="n"/>
      <c r="C76" s="421" t="n"/>
      <c r="D76" s="421" t="n"/>
      <c r="E76" s="421" t="n"/>
      <c r="F76" s="421" t="n"/>
      <c r="G76" s="421" t="n"/>
      <c r="H76" s="465" t="n"/>
      <c r="I76" s="87" t="n"/>
      <c r="J76" s="87" t="n"/>
      <c r="K76" s="527" t="n"/>
      <c r="L76" s="422" t="n"/>
      <c r="N76" s="522" t="n"/>
      <c r="P76" s="523" t="n"/>
    </row>
    <row r="77" ht="15" customHeight="1" s="159">
      <c r="B77" s="404" t="n"/>
      <c r="C77" s="405" t="n"/>
      <c r="D77" s="405" t="n"/>
      <c r="E77" s="405" t="n"/>
      <c r="F77" s="405" t="n"/>
      <c r="G77" s="405" t="n"/>
      <c r="H77" s="406" t="n"/>
      <c r="I77" s="87" t="n"/>
      <c r="J77" s="87" t="n"/>
      <c r="K77" s="527" t="n"/>
      <c r="L77" s="422" t="n"/>
      <c r="N77" s="529" t="n"/>
      <c r="O77" s="44" t="n"/>
      <c r="P77" s="530" t="n"/>
    </row>
    <row r="78" ht="15" customHeight="1" s="159">
      <c r="B78" s="404" t="n"/>
      <c r="C78" s="405" t="n"/>
      <c r="D78" s="405" t="n"/>
      <c r="E78" s="405" t="n"/>
      <c r="F78" s="405" t="n"/>
      <c r="G78" s="405" t="n"/>
      <c r="H78" s="406" t="n"/>
      <c r="I78" s="87" t="n"/>
      <c r="J78" s="87" t="n"/>
      <c r="K78" s="527" t="n"/>
      <c r="L78" s="422" t="n"/>
    </row>
    <row r="79" ht="15" customHeight="1" s="159" thickBot="1">
      <c r="B79" s="531" t="n"/>
      <c r="C79" s="429" t="n"/>
      <c r="D79" s="429" t="n"/>
      <c r="E79" s="429" t="n"/>
      <c r="F79" s="429" t="n"/>
      <c r="G79" s="429" t="n"/>
      <c r="H79" s="532" t="n"/>
      <c r="I79" s="76" t="n"/>
      <c r="J79" s="76" t="n"/>
      <c r="K79" s="533" t="n"/>
      <c r="L79" s="430" t="n"/>
    </row>
    <row r="80" ht="15" customHeight="1" s="159"/>
  </sheetData>
  <mergeCells count="69">
    <mergeCell ref="K74:L74"/>
    <mergeCell ref="O5:Q5"/>
    <mergeCell ref="E10:J10"/>
    <mergeCell ref="C20:C21"/>
    <mergeCell ref="O4:Q4"/>
    <mergeCell ref="E20:E21"/>
    <mergeCell ref="E9:J9"/>
    <mergeCell ref="B53:D53"/>
    <mergeCell ref="F66:H66"/>
    <mergeCell ref="B44:D44"/>
    <mergeCell ref="F20:F21"/>
    <mergeCell ref="E6:J6"/>
    <mergeCell ref="O16:Q16"/>
    <mergeCell ref="B76:H76"/>
    <mergeCell ref="K79:L79"/>
    <mergeCell ref="E11:J11"/>
    <mergeCell ref="B79:H79"/>
    <mergeCell ref="B75:H75"/>
    <mergeCell ref="K76:L76"/>
    <mergeCell ref="K72:L72"/>
    <mergeCell ref="C41:C42"/>
    <mergeCell ref="B49:D49"/>
    <mergeCell ref="D41:D42"/>
    <mergeCell ref="F56:H56"/>
    <mergeCell ref="O12:Q12"/>
    <mergeCell ref="O17:Q17"/>
    <mergeCell ref="K75:L75"/>
    <mergeCell ref="J43:L43"/>
    <mergeCell ref="O8:Q8"/>
    <mergeCell ref="B51:D51"/>
    <mergeCell ref="O11:Q11"/>
    <mergeCell ref="M49:P49"/>
    <mergeCell ref="J51:L51"/>
    <mergeCell ref="E7:J7"/>
    <mergeCell ref="O14:Q14"/>
    <mergeCell ref="K77:L77"/>
    <mergeCell ref="B71:H71"/>
    <mergeCell ref="B45:D45"/>
    <mergeCell ref="B50:D50"/>
    <mergeCell ref="O13:Q13"/>
    <mergeCell ref="B70:H70"/>
    <mergeCell ref="K71:L71"/>
    <mergeCell ref="O7:Q7"/>
    <mergeCell ref="B20:B21"/>
    <mergeCell ref="R21:T22"/>
    <mergeCell ref="E13:J18"/>
    <mergeCell ref="D20:D21"/>
    <mergeCell ref="E12:J12"/>
    <mergeCell ref="K70:L70"/>
    <mergeCell ref="N69:P77"/>
    <mergeCell ref="B54:D54"/>
    <mergeCell ref="J44:L44"/>
    <mergeCell ref="B47:D47"/>
    <mergeCell ref="O10:Q10"/>
    <mergeCell ref="K73:L73"/>
    <mergeCell ref="O6:Q6"/>
    <mergeCell ref="B2:C3"/>
    <mergeCell ref="B46:D46"/>
    <mergeCell ref="O18:Q18"/>
    <mergeCell ref="E5:J5"/>
    <mergeCell ref="O9:Q9"/>
    <mergeCell ref="E8:J8"/>
    <mergeCell ref="B41:B42"/>
    <mergeCell ref="B52:D52"/>
    <mergeCell ref="B43:D43"/>
    <mergeCell ref="E4:J4"/>
    <mergeCell ref="K69:L69"/>
    <mergeCell ref="B48:D48"/>
    <mergeCell ref="K78:L78"/>
  </mergeCells>
  <printOptions horizontalCentered="1" verticalCentered="1"/>
  <pageMargins left="0.3" right="0.3" top="0.3" bottom="0.3" header="0.3" footer="0.3"/>
  <pageSetup orientation="landscape" scale="46" cellComments="atEnd"/>
  <legacyDrawing xmlns:r="http://schemas.openxmlformats.org/officeDocument/2006/relationships" r:id="anysvml"/>
</worksheet>
</file>

<file path=xl/worksheets/sheet2.xml><?xml version="1.0" encoding="utf-8"?>
<worksheet xmlns="http://schemas.openxmlformats.org/spreadsheetml/2006/main">
  <sheetPr>
    <tabColor rgb="FF00B050"/>
    <outlinePr summaryBelow="1" summaryRight="1"/>
    <pageSetUpPr fitToPage="1"/>
  </sheetPr>
  <dimension ref="A2:O25"/>
  <sheetViews>
    <sheetView zoomScaleNormal="100" workbookViewId="0">
      <selection activeCell="C30" sqref="C30"/>
    </sheetView>
  </sheetViews>
  <sheetFormatPr baseColWidth="8" defaultRowHeight="12.75"/>
  <cols>
    <col width="29.28515625" bestFit="1" customWidth="1" style="153" min="1" max="1"/>
    <col width="9.140625" customWidth="1" style="153" min="2" max="2"/>
    <col width="15.42578125" bestFit="1" customWidth="1" style="153" min="3" max="3"/>
    <col width="9.140625" customWidth="1" style="153" min="4" max="16384"/>
  </cols>
  <sheetData>
    <row r="2">
      <c r="D2" s="534" t="inlineStr">
        <is>
          <t>Projected Monthly Deliverable Expenses</t>
        </is>
      </c>
      <c r="E2" s="518" t="n"/>
      <c r="F2" s="518" t="n"/>
      <c r="G2" s="518" t="n"/>
      <c r="H2" s="518" t="n"/>
      <c r="I2" s="518" t="n"/>
      <c r="J2" s="518" t="n"/>
      <c r="K2" s="518" t="n"/>
      <c r="L2" s="518" t="n"/>
      <c r="M2" s="518" t="n"/>
      <c r="N2" s="518" t="n"/>
      <c r="O2" s="519" t="n"/>
    </row>
    <row r="3" ht="25.5" customHeight="1" s="159">
      <c r="A3" s="50" t="inlineStr">
        <is>
          <t>Deliverable Name and Description</t>
        </is>
      </c>
      <c r="B3" s="50" t="inlineStr">
        <is>
          <t>Due Date</t>
        </is>
      </c>
      <c r="C3" s="51" t="inlineStr">
        <is>
          <t>Allocated Fee Amount (Total)</t>
        </is>
      </c>
      <c r="D3" s="60" t="inlineStr">
        <is>
          <t>Month 1</t>
        </is>
      </c>
      <c r="E3" s="60" t="inlineStr">
        <is>
          <t>Month 2</t>
        </is>
      </c>
      <c r="F3" s="60" t="inlineStr">
        <is>
          <t>Month 3</t>
        </is>
      </c>
      <c r="G3" s="60" t="inlineStr">
        <is>
          <t>Month 4</t>
        </is>
      </c>
      <c r="H3" s="60" t="inlineStr">
        <is>
          <t>Month 5</t>
        </is>
      </c>
      <c r="I3" s="60" t="inlineStr">
        <is>
          <t>Month 6</t>
        </is>
      </c>
      <c r="J3" s="60" t="inlineStr">
        <is>
          <t>Month 7</t>
        </is>
      </c>
      <c r="K3" s="60" t="inlineStr">
        <is>
          <t>Month 8</t>
        </is>
      </c>
      <c r="L3" s="60" t="inlineStr">
        <is>
          <t>Month 9</t>
        </is>
      </c>
      <c r="M3" s="60" t="inlineStr">
        <is>
          <t>Month 10</t>
        </is>
      </c>
      <c r="N3" s="60" t="inlineStr">
        <is>
          <t>Month 11</t>
        </is>
      </c>
      <c r="O3" s="60" t="inlineStr">
        <is>
          <t>Month 12</t>
        </is>
      </c>
    </row>
    <row r="4">
      <c r="A4" s="52" t="n"/>
      <c r="B4" s="53" t="n"/>
      <c r="C4" s="535" t="n"/>
      <c r="D4" s="535" t="n"/>
      <c r="E4" s="535" t="n"/>
      <c r="F4" s="535" t="n"/>
      <c r="G4" s="535" t="n"/>
      <c r="H4" s="535" t="n"/>
      <c r="I4" s="535" t="n"/>
      <c r="J4" s="535" t="n"/>
      <c r="K4" s="535" t="n"/>
      <c r="L4" s="535" t="n"/>
      <c r="M4" s="535" t="n"/>
      <c r="N4" s="535" t="n"/>
      <c r="O4" s="536" t="n"/>
    </row>
    <row r="5">
      <c r="A5" s="54" t="n"/>
      <c r="B5" s="55" t="n"/>
      <c r="C5" s="537" t="n"/>
      <c r="D5" s="537" t="n"/>
      <c r="E5" s="537" t="n"/>
      <c r="F5" s="537" t="n"/>
      <c r="G5" s="537" t="n"/>
      <c r="H5" s="537" t="n"/>
      <c r="I5" s="537" t="n"/>
      <c r="J5" s="537" t="n"/>
      <c r="K5" s="537" t="n"/>
      <c r="L5" s="537" t="n"/>
      <c r="M5" s="537" t="n"/>
      <c r="N5" s="537" t="n"/>
      <c r="O5" s="538" t="n"/>
    </row>
    <row r="6">
      <c r="A6" s="54" t="n"/>
      <c r="B6" s="55" t="n"/>
      <c r="C6" s="537" t="n"/>
      <c r="D6" s="537" t="n"/>
      <c r="E6" s="537" t="n"/>
      <c r="F6" s="537" t="n"/>
      <c r="G6" s="537" t="n"/>
      <c r="H6" s="537" t="n"/>
      <c r="I6" s="537" t="n"/>
      <c r="J6" s="537" t="n"/>
      <c r="K6" s="537" t="n"/>
      <c r="L6" s="537" t="n"/>
      <c r="M6" s="537" t="n"/>
      <c r="N6" s="537" t="n"/>
      <c r="O6" s="538" t="n"/>
    </row>
    <row r="7">
      <c r="A7" s="54" t="n"/>
      <c r="B7" s="55" t="n"/>
      <c r="C7" s="537" t="n"/>
      <c r="D7" s="537" t="n"/>
      <c r="E7" s="537" t="n"/>
      <c r="F7" s="537" t="n"/>
      <c r="G7" s="537" t="n"/>
      <c r="H7" s="537" t="n"/>
      <c r="I7" s="537" t="n"/>
      <c r="J7" s="537" t="n"/>
      <c r="K7" s="537" t="n"/>
      <c r="L7" s="537" t="n"/>
      <c r="M7" s="537" t="n"/>
      <c r="N7" s="537" t="n"/>
      <c r="O7" s="538" t="n"/>
    </row>
    <row r="8">
      <c r="A8" s="56" t="n"/>
      <c r="B8" s="55" t="n"/>
      <c r="C8" s="537" t="n"/>
      <c r="D8" s="537" t="n"/>
      <c r="E8" s="537" t="n"/>
      <c r="F8" s="537" t="n"/>
      <c r="G8" s="537" t="n"/>
      <c r="H8" s="537" t="n"/>
      <c r="I8" s="537" t="n"/>
      <c r="J8" s="537" t="n"/>
      <c r="K8" s="537" t="n"/>
      <c r="L8" s="537" t="n"/>
      <c r="M8" s="537" t="n"/>
      <c r="N8" s="537" t="n"/>
      <c r="O8" s="538" t="n"/>
    </row>
    <row r="9">
      <c r="A9" s="56" t="n"/>
      <c r="B9" s="55" t="n"/>
      <c r="C9" s="537" t="n"/>
      <c r="D9" s="537" t="n"/>
      <c r="E9" s="537" t="n"/>
      <c r="F9" s="537" t="n"/>
      <c r="G9" s="537" t="n"/>
      <c r="H9" s="537" t="n"/>
      <c r="I9" s="537" t="n"/>
      <c r="J9" s="537" t="n"/>
      <c r="K9" s="537" t="n"/>
      <c r="L9" s="537" t="n"/>
      <c r="M9" s="537" t="n"/>
      <c r="N9" s="537" t="n"/>
      <c r="O9" s="538" t="n"/>
    </row>
    <row r="10">
      <c r="A10" s="56" t="n"/>
      <c r="B10" s="55" t="n"/>
      <c r="C10" s="537" t="n"/>
      <c r="D10" s="537" t="n"/>
      <c r="E10" s="537" t="n"/>
      <c r="F10" s="537" t="n"/>
      <c r="G10" s="537" t="n"/>
      <c r="H10" s="537" t="n"/>
      <c r="I10" s="537" t="n"/>
      <c r="J10" s="537" t="n"/>
      <c r="K10" s="537" t="n"/>
      <c r="L10" s="537" t="n"/>
      <c r="M10" s="537" t="n"/>
      <c r="N10" s="537" t="n"/>
      <c r="O10" s="538" t="n"/>
    </row>
    <row r="11">
      <c r="A11" s="56" t="n"/>
      <c r="B11" s="55" t="n"/>
      <c r="C11" s="537" t="n"/>
      <c r="D11" s="537" t="n"/>
      <c r="E11" s="537" t="n"/>
      <c r="F11" s="537" t="n"/>
      <c r="G11" s="537" t="n"/>
      <c r="H11" s="537" t="n"/>
      <c r="I11" s="537" t="n"/>
      <c r="J11" s="537" t="n"/>
      <c r="K11" s="537" t="n"/>
      <c r="L11" s="537" t="n"/>
      <c r="M11" s="537" t="n"/>
      <c r="N11" s="537" t="n"/>
      <c r="O11" s="538" t="n"/>
    </row>
    <row r="12">
      <c r="A12" s="56" t="n"/>
      <c r="B12" s="55" t="n"/>
      <c r="C12" s="537" t="n"/>
      <c r="D12" s="537" t="n"/>
      <c r="E12" s="537" t="n"/>
      <c r="F12" s="537" t="n"/>
      <c r="G12" s="537" t="n"/>
      <c r="H12" s="537" t="n"/>
      <c r="I12" s="537" t="n"/>
      <c r="J12" s="537" t="n"/>
      <c r="K12" s="537" t="n"/>
      <c r="L12" s="537" t="n"/>
      <c r="M12" s="537" t="n"/>
      <c r="N12" s="537" t="n"/>
      <c r="O12" s="538" t="n"/>
    </row>
    <row r="13">
      <c r="A13" s="56" t="n"/>
      <c r="B13" s="55" t="n"/>
      <c r="C13" s="537" t="n"/>
      <c r="D13" s="537" t="n"/>
      <c r="E13" s="537" t="n"/>
      <c r="F13" s="537" t="n"/>
      <c r="G13" s="537" t="n"/>
      <c r="H13" s="537" t="n"/>
      <c r="I13" s="537" t="n"/>
      <c r="J13" s="537" t="n"/>
      <c r="K13" s="537" t="n"/>
      <c r="L13" s="537" t="n"/>
      <c r="M13" s="537" t="n"/>
      <c r="N13" s="537" t="n"/>
      <c r="O13" s="538" t="n"/>
    </row>
    <row r="14">
      <c r="A14" s="56" t="n"/>
      <c r="B14" s="55" t="n"/>
      <c r="C14" s="537" t="n"/>
      <c r="D14" s="537" t="n"/>
      <c r="E14" s="537" t="n"/>
      <c r="F14" s="537" t="n"/>
      <c r="G14" s="537" t="n"/>
      <c r="H14" s="537" t="n"/>
      <c r="I14" s="537" t="n"/>
      <c r="J14" s="537" t="n"/>
      <c r="K14" s="537" t="n"/>
      <c r="L14" s="537" t="n"/>
      <c r="M14" s="537" t="n"/>
      <c r="N14" s="537" t="n"/>
      <c r="O14" s="538" t="n"/>
    </row>
    <row r="15">
      <c r="A15" s="56" t="n"/>
      <c r="B15" s="55" t="n"/>
      <c r="C15" s="537" t="n"/>
      <c r="D15" s="537" t="n"/>
      <c r="E15" s="537" t="n"/>
      <c r="F15" s="537" t="n"/>
      <c r="G15" s="537" t="n"/>
      <c r="H15" s="537" t="n"/>
      <c r="I15" s="537" t="n"/>
      <c r="J15" s="537" t="n"/>
      <c r="K15" s="537" t="n"/>
      <c r="L15" s="537" t="n"/>
      <c r="M15" s="537" t="n"/>
      <c r="N15" s="537" t="n"/>
      <c r="O15" s="538" t="n"/>
    </row>
    <row r="16">
      <c r="A16" s="56" t="n"/>
      <c r="B16" s="55" t="n"/>
      <c r="C16" s="537" t="n"/>
      <c r="D16" s="537" t="n"/>
      <c r="E16" s="537" t="n"/>
      <c r="F16" s="537" t="n"/>
      <c r="G16" s="537" t="n"/>
      <c r="H16" s="537" t="n"/>
      <c r="I16" s="537" t="n"/>
      <c r="J16" s="537" t="n"/>
      <c r="K16" s="537" t="n"/>
      <c r="L16" s="537" t="n"/>
      <c r="M16" s="537" t="n"/>
      <c r="N16" s="537" t="n"/>
      <c r="O16" s="538" t="n"/>
    </row>
    <row r="17">
      <c r="A17" s="56" t="n"/>
      <c r="B17" s="55" t="n"/>
      <c r="C17" s="537" t="n"/>
      <c r="D17" s="537" t="n"/>
      <c r="E17" s="537" t="n"/>
      <c r="F17" s="537" t="n"/>
      <c r="G17" s="537" t="n"/>
      <c r="H17" s="537" t="n"/>
      <c r="I17" s="537" t="n"/>
      <c r="J17" s="537" t="n"/>
      <c r="K17" s="537" t="n"/>
      <c r="L17" s="537" t="n"/>
      <c r="M17" s="537" t="n"/>
      <c r="N17" s="537" t="n"/>
      <c r="O17" s="538" t="n"/>
    </row>
    <row r="18">
      <c r="A18" s="56" t="n"/>
      <c r="B18" s="55" t="n"/>
      <c r="C18" s="537" t="n"/>
      <c r="D18" s="537" t="n"/>
      <c r="E18" s="537" t="n"/>
      <c r="F18" s="537" t="n"/>
      <c r="G18" s="537" t="n"/>
      <c r="H18" s="537" t="n"/>
      <c r="I18" s="537" t="n"/>
      <c r="J18" s="537" t="n"/>
      <c r="K18" s="537" t="n"/>
      <c r="L18" s="537" t="n"/>
      <c r="M18" s="537" t="n"/>
      <c r="N18" s="537" t="n"/>
      <c r="O18" s="538" t="n"/>
    </row>
    <row r="19">
      <c r="A19" s="56" t="n"/>
      <c r="B19" s="55" t="n"/>
      <c r="C19" s="537" t="n"/>
      <c r="D19" s="537" t="n"/>
      <c r="E19" s="537" t="n"/>
      <c r="F19" s="537" t="n"/>
      <c r="G19" s="537" t="n"/>
      <c r="H19" s="537" t="n"/>
      <c r="I19" s="537" t="n"/>
      <c r="J19" s="537" t="n"/>
      <c r="K19" s="537" t="n"/>
      <c r="L19" s="537" t="n"/>
      <c r="M19" s="537" t="n"/>
      <c r="N19" s="537" t="n"/>
      <c r="O19" s="538" t="n"/>
    </row>
    <row r="20">
      <c r="A20" s="56" t="n"/>
      <c r="B20" s="55" t="n"/>
      <c r="C20" s="537" t="n"/>
      <c r="D20" s="537" t="n"/>
      <c r="E20" s="537" t="n"/>
      <c r="F20" s="537" t="n"/>
      <c r="G20" s="537" t="n"/>
      <c r="H20" s="537" t="n"/>
      <c r="I20" s="537" t="n"/>
      <c r="J20" s="537" t="n"/>
      <c r="K20" s="537" t="n"/>
      <c r="L20" s="537" t="n"/>
      <c r="M20" s="537" t="n"/>
      <c r="N20" s="537" t="n"/>
      <c r="O20" s="538" t="n"/>
    </row>
    <row r="21">
      <c r="A21" s="56" t="n"/>
      <c r="B21" s="55" t="n"/>
      <c r="C21" s="537" t="n"/>
      <c r="D21" s="537" t="n"/>
      <c r="E21" s="537" t="n"/>
      <c r="F21" s="537" t="n"/>
      <c r="G21" s="537" t="n"/>
      <c r="H21" s="537" t="n"/>
      <c r="I21" s="537" t="n"/>
      <c r="J21" s="537" t="n"/>
      <c r="K21" s="537" t="n"/>
      <c r="L21" s="537" t="n"/>
      <c r="M21" s="537" t="n"/>
      <c r="N21" s="537" t="n"/>
      <c r="O21" s="538" t="n"/>
    </row>
    <row r="22">
      <c r="A22" s="56" t="n"/>
      <c r="B22" s="55" t="n"/>
      <c r="C22" s="537" t="n"/>
      <c r="D22" s="537" t="n"/>
      <c r="E22" s="537" t="n"/>
      <c r="F22" s="537" t="n"/>
      <c r="G22" s="537" t="n"/>
      <c r="H22" s="537" t="n"/>
      <c r="I22" s="537" t="n"/>
      <c r="J22" s="537" t="n"/>
      <c r="K22" s="537" t="n"/>
      <c r="L22" s="537" t="n"/>
      <c r="M22" s="537" t="n"/>
      <c r="N22" s="537" t="n"/>
      <c r="O22" s="538" t="n"/>
    </row>
    <row r="23">
      <c r="A23" s="56" t="n"/>
      <c r="B23" s="55" t="n"/>
      <c r="C23" s="537" t="n"/>
      <c r="D23" s="537" t="n"/>
      <c r="E23" s="537" t="n"/>
      <c r="F23" s="537" t="n"/>
      <c r="G23" s="537" t="n"/>
      <c r="H23" s="537" t="n"/>
      <c r="I23" s="537" t="n"/>
      <c r="J23" s="537" t="n"/>
      <c r="K23" s="537" t="n"/>
      <c r="L23" s="537" t="n"/>
      <c r="M23" s="537" t="n"/>
      <c r="N23" s="537" t="n"/>
      <c r="O23" s="538" t="n"/>
    </row>
    <row r="24">
      <c r="A24" s="57" t="n"/>
      <c r="B24" s="58" t="inlineStr">
        <is>
          <t>Totals</t>
        </is>
      </c>
      <c r="C24" s="539">
        <f>SUM(C4:C23)</f>
        <v/>
      </c>
      <c r="D24" s="539" t="n"/>
      <c r="E24" s="539" t="n"/>
      <c r="F24" s="539" t="n"/>
      <c r="G24" s="539" t="n"/>
      <c r="H24" s="539" t="n"/>
      <c r="I24" s="539" t="n"/>
      <c r="J24" s="539" t="n"/>
      <c r="K24" s="539" t="n"/>
      <c r="L24" s="539" t="n"/>
      <c r="M24" s="539" t="n"/>
      <c r="N24" s="539" t="n"/>
      <c r="O24" s="540" t="n"/>
    </row>
    <row r="25">
      <c r="A25" s="59" t="n"/>
      <c r="B25" s="59" t="n"/>
      <c r="C25" s="541" t="inlineStr">
        <is>
          <t>Aggregate Spend</t>
        </is>
      </c>
      <c r="D25" s="542">
        <f>SUM(D4:D24)</f>
        <v/>
      </c>
      <c r="E25" s="542">
        <f>SUM(E4:E24)</f>
        <v/>
      </c>
      <c r="F25" s="542">
        <f>SUM(F4:F24)</f>
        <v/>
      </c>
      <c r="G25" s="542">
        <f>SUM(G4:G24)</f>
        <v/>
      </c>
      <c r="H25" s="542">
        <f>SUM(H4:H24)</f>
        <v/>
      </c>
      <c r="I25" s="542">
        <f>SUM(I4:I24)</f>
        <v/>
      </c>
      <c r="J25" s="542">
        <f>SUM(J4:J24)</f>
        <v/>
      </c>
      <c r="K25" s="542">
        <f>SUM(K4:K24)</f>
        <v/>
      </c>
      <c r="L25" s="542">
        <f>SUM(L4:L24)</f>
        <v/>
      </c>
      <c r="M25" s="542">
        <f>SUM(M4:M24)</f>
        <v/>
      </c>
      <c r="N25" s="542">
        <f>SUM(N4:N24)</f>
        <v/>
      </c>
      <c r="O25" s="542">
        <f>SUM(O4:O24)</f>
        <v/>
      </c>
    </row>
  </sheetData>
  <mergeCells count="1">
    <mergeCell ref="D2:O2"/>
  </mergeCells>
  <pageMargins left="0.7" right="0.7" top="0.75" bottom="0.75" header="0.3" footer="0.3"/>
  <pageSetup orientation="landscape" scale="76"/>
</worksheet>
</file>

<file path=xl/worksheets/sheet3.xml><?xml version="1.0" encoding="utf-8"?>
<worksheet xmlns="http://schemas.openxmlformats.org/spreadsheetml/2006/main">
  <sheetPr>
    <tabColor rgb="FF00B0F0"/>
    <outlinePr summaryBelow="1" summaryRight="1"/>
    <pageSetUpPr/>
  </sheetPr>
  <dimension ref="B2:X79"/>
  <sheetViews>
    <sheetView showGridLines="0" zoomScale="70" zoomScaleNormal="70" zoomScaleSheetLayoutView="80" workbookViewId="0">
      <selection activeCell="B27" sqref="B27"/>
    </sheetView>
  </sheetViews>
  <sheetFormatPr baseColWidth="8" defaultRowHeight="12.75"/>
  <cols>
    <col width="63.85546875" customWidth="1" style="159" min="2" max="2"/>
    <col width="22.5703125" customWidth="1" style="159" min="3" max="3"/>
    <col width="20.85546875" customWidth="1" style="159" min="4" max="4"/>
    <col width="9.140625" customWidth="1" style="159" min="5" max="5"/>
    <col width="12.42578125" customWidth="1" style="159" min="6" max="6"/>
    <col width="10.7109375" customWidth="1" style="159" min="7" max="7"/>
    <col width="14.140625" customWidth="1" style="159" min="8" max="8"/>
    <col width="15.7109375" customWidth="1" style="159" min="9" max="9"/>
    <col width="10.7109375" customWidth="1" style="159" min="10" max="10"/>
    <col width="9.5703125" customWidth="1" style="159" min="11" max="11"/>
    <col width="13.140625" customWidth="1" style="159" min="12" max="12"/>
    <col width="15.7109375" customWidth="1" style="159" min="13" max="13"/>
    <col width="21.85546875" customWidth="1" style="159" min="14" max="14"/>
    <col width="13.140625" customWidth="1" style="159" min="15" max="15"/>
    <col width="15.7109375" customWidth="1" style="159" min="16" max="17"/>
    <col width="26.42578125" customWidth="1" style="159" min="18" max="18"/>
    <col width="12.28515625" bestFit="1" customWidth="1" style="159" min="19" max="19"/>
  </cols>
  <sheetData>
    <row r="1" ht="13.5" customHeight="1" s="159" thickBot="1"/>
    <row r="2" ht="23.25" customHeight="1" s="159">
      <c r="B2" s="415" t="inlineStr">
        <is>
          <t>Supplier ED&amp;D Price Break Down Template
ED&amp;D PBD</t>
        </is>
      </c>
      <c r="C2" s="416" t="n"/>
      <c r="D2" s="43" t="n"/>
      <c r="E2" s="98" t="inlineStr">
        <is>
          <t>Project Scope</t>
        </is>
      </c>
      <c r="F2" s="99" t="n"/>
      <c r="G2" s="99" t="n"/>
      <c r="H2" s="99" t="n"/>
      <c r="I2" s="99" t="n"/>
      <c r="J2" s="140" t="n"/>
      <c r="L2" s="98" t="inlineStr">
        <is>
          <t>FCA Engineer to Complete the following:</t>
        </is>
      </c>
      <c r="M2" s="99" t="n"/>
      <c r="N2" s="100" t="n"/>
      <c r="O2" s="100" t="n"/>
      <c r="P2" s="100" t="n"/>
      <c r="Q2" s="101" t="n"/>
      <c r="R2" s="16" t="n"/>
    </row>
    <row r="3" ht="21" customHeight="1" s="159">
      <c r="B3" s="62" t="n"/>
      <c r="C3" s="38" t="n"/>
      <c r="E3" s="102" t="inlineStr">
        <is>
          <t>FCA Engineer to Complete the following:</t>
        </is>
      </c>
      <c r="F3" s="103" t="n"/>
      <c r="G3" s="103" t="n"/>
      <c r="H3" s="103" t="n"/>
      <c r="I3" s="103" t="n"/>
      <c r="J3" s="141" t="n"/>
      <c r="L3" s="39" t="inlineStr">
        <is>
          <t>Return to :</t>
        </is>
      </c>
      <c r="M3" s="24" t="n"/>
      <c r="N3" s="24" t="n"/>
      <c r="O3" s="36" t="inlineStr">
        <is>
          <t>Name / NIC</t>
        </is>
      </c>
      <c r="Q3" s="38" t="n"/>
      <c r="R3" s="22" t="n"/>
      <c r="S3" s="22" t="n"/>
      <c r="U3" s="22" t="n"/>
      <c r="V3" s="16" t="n"/>
      <c r="W3" s="16" t="n"/>
      <c r="X3" s="16" t="n"/>
    </row>
    <row r="4" ht="18" customHeight="1" s="159">
      <c r="B4" s="62" t="n"/>
      <c r="C4" s="38" t="n"/>
      <c r="D4" s="28" t="n"/>
      <c r="E4" s="417" t="inlineStr">
        <is>
          <t>Part Name:</t>
        </is>
      </c>
      <c r="J4" s="38" t="n"/>
      <c r="L4" s="40" t="inlineStr">
        <is>
          <t>Approved by (FCA Engineer):</t>
        </is>
      </c>
      <c r="N4" s="96" t="inlineStr">
        <is>
          <t>DR</t>
        </is>
      </c>
      <c r="O4" s="318" t="inlineStr">
        <is>
          <t>aaaa</t>
        </is>
      </c>
      <c r="P4" s="418" t="n"/>
      <c r="Q4" s="419" t="n"/>
      <c r="W4" s="16" t="n"/>
      <c r="X4" s="16" t="n"/>
    </row>
    <row r="5" ht="18" customHeight="1" s="159">
      <c r="B5" s="63" t="inlineStr">
        <is>
          <t>The following is considered valid for advance ED&amp;D Payment:</t>
        </is>
      </c>
      <c r="C5" s="64" t="n"/>
      <c r="D5" s="28" t="n"/>
      <c r="E5" s="420" t="inlineStr">
        <is>
          <t>xxx</t>
        </is>
      </c>
      <c r="J5" s="38" t="n"/>
      <c r="L5" s="40" t="inlineStr">
        <is>
          <t>Approved by (FCA Eng Mgr):</t>
        </is>
      </c>
      <c r="N5" s="96" t="inlineStr">
        <is>
          <t>SR</t>
        </is>
      </c>
      <c r="O5" s="312" t="inlineStr">
        <is>
          <t>aaaa</t>
        </is>
      </c>
      <c r="P5" s="421" t="n"/>
      <c r="Q5" s="422" t="n"/>
      <c r="W5" s="16" t="n"/>
      <c r="X5" s="16" t="n"/>
    </row>
    <row r="6" ht="18" customHeight="1" s="159">
      <c r="B6" s="70" t="inlineStr">
        <is>
          <t>- Product Engineering</t>
        </is>
      </c>
      <c r="C6" s="66" t="n"/>
      <c r="D6" s="32" t="n"/>
      <c r="E6" s="417" t="inlineStr">
        <is>
          <t>Is the part production sourced?</t>
        </is>
      </c>
      <c r="J6" s="38" t="n"/>
      <c r="L6" s="40" t="inlineStr">
        <is>
          <t>Approved &amp; Funding Verified by (FCA MR):</t>
        </is>
      </c>
      <c r="O6" s="312" t="n"/>
      <c r="P6" s="421" t="n"/>
      <c r="Q6" s="422" t="n"/>
      <c r="W6" s="16" t="n"/>
      <c r="X6" s="16" t="n"/>
    </row>
    <row r="7" ht="18" customHeight="1" s="159">
      <c r="B7" s="70" t="inlineStr">
        <is>
          <t>- CAD Design</t>
        </is>
      </c>
      <c r="C7" s="66" t="n"/>
      <c r="D7" s="32" t="n"/>
      <c r="E7" s="420" t="inlineStr">
        <is>
          <t>Yes</t>
        </is>
      </c>
      <c r="J7" s="38" t="n"/>
      <c r="L7" s="40" t="inlineStr">
        <is>
          <t>ER&amp;D estimated</t>
        </is>
      </c>
      <c r="N7" s="97" t="inlineStr">
        <is>
          <t>Estimated costs</t>
        </is>
      </c>
      <c r="O7" s="312" t="inlineStr">
        <is>
          <t>aaaa</t>
        </is>
      </c>
      <c r="P7" s="421" t="n"/>
      <c r="Q7" s="422" t="n"/>
      <c r="W7" s="16" t="n"/>
      <c r="X7" s="16" t="n"/>
    </row>
    <row r="8" ht="18" customHeight="1" s="159">
      <c r="B8" s="70" t="inlineStr">
        <is>
          <t>- Software Engineering</t>
        </is>
      </c>
      <c r="C8" s="72" t="n"/>
      <c r="D8" s="33" t="n"/>
      <c r="E8" s="417" t="inlineStr">
        <is>
          <t>CN #</t>
        </is>
      </c>
      <c r="J8" s="38" t="n"/>
      <c r="L8" s="40" t="n"/>
      <c r="N8" s="96" t="inlineStr">
        <is>
          <t>Model planner</t>
        </is>
      </c>
      <c r="O8" s="312" t="inlineStr">
        <is>
          <t>aaaa</t>
        </is>
      </c>
      <c r="P8" s="421" t="n"/>
      <c r="Q8" s="422" t="n"/>
      <c r="W8" s="16" t="n"/>
      <c r="X8" s="16" t="n"/>
    </row>
    <row r="9" ht="18.75" customHeight="1" s="159">
      <c r="B9" s="70" t="inlineStr">
        <is>
          <t>- Design Validation Expenses (Time and Materials)</t>
        </is>
      </c>
      <c r="C9" s="72" t="n"/>
      <c r="D9" s="33" t="n"/>
      <c r="E9" s="420" t="inlineStr">
        <is>
          <t>xxxxxxxxxxxxxxxx</t>
        </is>
      </c>
      <c r="J9" s="38" t="n"/>
      <c r="L9" s="40" t="inlineStr">
        <is>
          <t>Approved by (FCA Buyer):</t>
        </is>
      </c>
      <c r="N9" s="24" t="n"/>
      <c r="O9" s="312" t="n"/>
      <c r="P9" s="421" t="n"/>
      <c r="Q9" s="422" t="n"/>
      <c r="R9" s="16" t="n"/>
      <c r="S9" s="16" t="n"/>
      <c r="U9" s="16" t="n"/>
      <c r="V9" s="16" t="n"/>
      <c r="W9" s="16" t="n"/>
      <c r="X9" s="16" t="n"/>
    </row>
    <row r="10" ht="18" customHeight="1" s="159">
      <c r="B10" s="70" t="inlineStr">
        <is>
          <t>- Product Validation Testing / Reporting</t>
        </is>
      </c>
      <c r="C10" s="73" t="n"/>
      <c r="D10" s="23" t="n"/>
      <c r="E10" s="417" t="inlineStr">
        <is>
          <t>Source Package</t>
        </is>
      </c>
      <c r="J10" s="38" t="n"/>
      <c r="L10" s="40" t="inlineStr">
        <is>
          <t>Approved by (FCA Commodity Mgr):</t>
        </is>
      </c>
      <c r="N10" s="24" t="n"/>
      <c r="O10" s="312" t="n"/>
      <c r="P10" s="421" t="n"/>
      <c r="Q10" s="422" t="n"/>
    </row>
    <row r="11" ht="18.75" customHeight="1" s="159">
      <c r="B11" s="70" t="inlineStr">
        <is>
          <t>- Homologation Requirements</t>
        </is>
      </c>
      <c r="C11" s="73" t="n"/>
      <c r="D11" s="28" t="n"/>
      <c r="E11" s="420" t="inlineStr">
        <is>
          <t>?</t>
        </is>
      </c>
      <c r="J11" s="38" t="n"/>
      <c r="L11" s="40" t="inlineStr">
        <is>
          <t>Supplier Name</t>
        </is>
      </c>
      <c r="N11" s="24" t="n"/>
      <c r="O11" s="312" t="inlineStr">
        <is>
          <t>aaaa</t>
        </is>
      </c>
      <c r="P11" s="421" t="n"/>
      <c r="Q11" s="422" t="n"/>
    </row>
    <row r="12" ht="18.75" customHeight="1" s="159">
      <c r="B12" s="70" t="inlineStr">
        <is>
          <t>- Prototype parts &amp; tooling, developmental / Pilot Parts (paid via separate requisition)</t>
        </is>
      </c>
      <c r="C12" s="69" t="n"/>
      <c r="D12" s="32" t="n"/>
      <c r="E12" s="423" t="inlineStr">
        <is>
          <t>Macro-Description of Work to be Completed:</t>
        </is>
      </c>
      <c r="J12" s="38" t="n"/>
      <c r="L12" s="40" t="inlineStr">
        <is>
          <t>Model Year &amp; Vehicle (ie 2012 WD)</t>
        </is>
      </c>
      <c r="N12" s="24" t="n"/>
      <c r="O12" s="312" t="n"/>
      <c r="P12" s="421" t="n"/>
      <c r="Q12" s="422" t="n"/>
    </row>
    <row r="13" ht="18" customHeight="1" s="159">
      <c r="B13" s="70" t="inlineStr">
        <is>
          <t>- Program Management (ONLY if FULLY dedicated to program)</t>
        </is>
      </c>
      <c r="C13" s="66" t="n"/>
      <c r="D13" s="31" t="n"/>
      <c r="E13" s="424" t="inlineStr">
        <is>
          <t>AAAAAAAAAAAA</t>
        </is>
      </c>
      <c r="J13" s="38" t="n"/>
      <c r="L13" s="40" t="inlineStr">
        <is>
          <t>Submission Date</t>
        </is>
      </c>
      <c r="N13" s="24" t="n"/>
      <c r="O13" s="312" t="n"/>
      <c r="P13" s="421" t="n"/>
      <c r="Q13" s="422" t="n"/>
    </row>
    <row r="14" ht="18" customHeight="1" s="159">
      <c r="B14" s="70" t="inlineStr">
        <is>
          <t>-1st PPAP</t>
        </is>
      </c>
      <c r="C14" s="72" t="n"/>
      <c r="D14" s="32" t="n"/>
      <c r="E14" s="62" t="n"/>
      <c r="J14" s="38" t="n"/>
      <c r="L14" s="40" t="inlineStr">
        <is>
          <t>Annual Volume</t>
        </is>
      </c>
      <c r="N14" s="24" t="n"/>
      <c r="O14" s="335" t="n"/>
      <c r="P14" s="425" t="n"/>
      <c r="Q14" s="426" t="n"/>
    </row>
    <row r="15" ht="18" customHeight="1" s="159">
      <c r="B15" s="165" t="n"/>
      <c r="C15" s="71" t="n"/>
      <c r="D15" s="33" t="n"/>
      <c r="E15" s="62" t="n"/>
      <c r="J15" s="38" t="n"/>
      <c r="L15" s="102" t="inlineStr">
        <is>
          <t>ED&amp;D Engineer to Complete the following:</t>
        </is>
      </c>
      <c r="M15" s="104" t="n"/>
      <c r="N15" s="104" t="n"/>
      <c r="O15" s="104" t="n"/>
      <c r="P15" s="104" t="n"/>
      <c r="Q15" s="105" t="n"/>
    </row>
    <row r="16" ht="18" customHeight="1" s="159">
      <c r="B16" s="63" t="inlineStr">
        <is>
          <t>The following is NOT considered valid for advance ED&amp;D Payment:</t>
        </is>
      </c>
      <c r="C16" s="72" t="n"/>
      <c r="D16" s="32" t="n"/>
      <c r="E16" s="62" t="n"/>
      <c r="J16" s="38" t="n"/>
      <c r="L16" s="40" t="inlineStr">
        <is>
          <t>Reviewed by (ED&amp;D Analyst):</t>
        </is>
      </c>
      <c r="N16" s="24" t="n"/>
      <c r="O16" s="318" t="inlineStr">
        <is>
          <t>aaaaa</t>
        </is>
      </c>
      <c r="P16" s="418" t="n"/>
      <c r="Q16" s="419" t="n"/>
    </row>
    <row r="17" ht="18" customHeight="1" s="159">
      <c r="B17" s="70" t="inlineStr">
        <is>
          <t>- Process Sign-off (PSO) and Production Part Approval Process (PPAP)</t>
        </is>
      </c>
      <c r="C17" s="73" t="n"/>
      <c r="D17" s="32" t="n"/>
      <c r="E17" s="62" t="n"/>
      <c r="J17" s="38" t="n"/>
      <c r="L17" s="40" t="inlineStr">
        <is>
          <t>EPAS Control Number (nafta requisition number)</t>
        </is>
      </c>
      <c r="N17" s="24" t="n"/>
      <c r="O17" s="312" t="inlineStr">
        <is>
          <t>CN</t>
        </is>
      </c>
      <c r="P17" s="421" t="n"/>
      <c r="Q17" s="422" t="n"/>
    </row>
    <row r="18" ht="18.75" customHeight="1" s="159" thickBot="1">
      <c r="B18" s="74" t="inlineStr">
        <is>
          <t>- Corrections to Supplier Design Errors (actions not driven by FCA)</t>
        </is>
      </c>
      <c r="C18" s="75" t="n"/>
      <c r="D18" s="32" t="n"/>
      <c r="E18" s="427" t="n"/>
      <c r="F18" s="2" t="n"/>
      <c r="G18" s="2" t="n"/>
      <c r="H18" s="2" t="n"/>
      <c r="I18" s="2" t="n"/>
      <c r="J18" s="428" t="n"/>
      <c r="L18" s="41" t="inlineStr">
        <is>
          <t>ED&amp;D Tracking Number</t>
        </is>
      </c>
      <c r="M18" s="2" t="n"/>
      <c r="N18" s="42" t="n"/>
      <c r="O18" s="337" t="inlineStr">
        <is>
          <t>xxxx</t>
        </is>
      </c>
      <c r="P18" s="429" t="n"/>
      <c r="Q18" s="430" t="n"/>
    </row>
    <row r="19" ht="18.75" customHeight="1" s="159" thickBot="1">
      <c r="B19" s="266" t="n"/>
      <c r="C19" s="266" t="n"/>
      <c r="D19" s="266" t="n"/>
      <c r="E19" s="266" t="n"/>
      <c r="L19" s="36" t="n"/>
      <c r="N19" s="24" t="n"/>
    </row>
    <row r="20" ht="30" customHeight="1" s="159">
      <c r="B20" s="431" t="inlineStr">
        <is>
          <t>Supplier to Complete (Labor Costs)</t>
        </is>
      </c>
      <c r="C20" s="432" t="inlineStr">
        <is>
          <t>Date role engages</t>
        </is>
      </c>
      <c r="D20" s="432" t="inlineStr">
        <is>
          <t>Date role disengages</t>
        </is>
      </c>
      <c r="E20" s="432" t="inlineStr">
        <is>
          <t>FTE's average</t>
        </is>
      </c>
      <c r="F20" s="432" t="inlineStr">
        <is>
          <t>Physical Location</t>
        </is>
      </c>
      <c r="G20" s="134" t="inlineStr">
        <is>
          <t>CAD</t>
        </is>
      </c>
      <c r="H20" s="135" t="n"/>
      <c r="I20" s="136" t="n"/>
      <c r="J20" s="134" t="inlineStr">
        <is>
          <t xml:space="preserve">Engineering </t>
        </is>
      </c>
      <c r="K20" s="137" t="n"/>
      <c r="L20" s="135" t="n"/>
      <c r="M20" s="136" t="n"/>
      <c r="N20" s="134" t="inlineStr">
        <is>
          <t>Software Developers</t>
        </is>
      </c>
      <c r="O20" s="135" t="n"/>
      <c r="P20" s="135" t="n"/>
      <c r="Q20" s="128" t="n"/>
    </row>
    <row r="21" ht="25.5" customHeight="1" s="159">
      <c r="B21" s="433" t="n"/>
      <c r="C21" s="434" t="n"/>
      <c r="D21" s="434" t="n"/>
      <c r="E21" s="434" t="n"/>
      <c r="F21" s="434" t="n"/>
      <c r="G21" s="216" t="inlineStr">
        <is>
          <t>Time</t>
        </is>
      </c>
      <c r="H21" s="215" t="inlineStr">
        <is>
          <t>Salary fully Fringed</t>
        </is>
      </c>
      <c r="I21" s="129" t="n"/>
      <c r="J21" s="216" t="inlineStr">
        <is>
          <t>Time</t>
        </is>
      </c>
      <c r="K21" s="215" t="n"/>
      <c r="L21" s="217" t="inlineStr">
        <is>
          <t>Salary fully Fringed</t>
        </is>
      </c>
      <c r="M21" s="129" t="n"/>
      <c r="N21" s="216" t="inlineStr">
        <is>
          <t>Time</t>
        </is>
      </c>
      <c r="O21" s="215" t="inlineStr">
        <is>
          <t>Salary fully Fringed</t>
        </is>
      </c>
      <c r="P21" s="130" t="n"/>
      <c r="Q21" s="131" t="inlineStr">
        <is>
          <t>Total</t>
        </is>
      </c>
      <c r="R21" s="325" t="inlineStr">
        <is>
          <t>salary/hourly rate w/o facilities depreciation overheads</t>
        </is>
      </c>
    </row>
    <row r="22" ht="21" customHeight="1" s="159">
      <c r="B22" s="17" t="inlineStr">
        <is>
          <t>List by role/activities</t>
        </is>
      </c>
      <c r="C22" s="20" t="n"/>
      <c r="D22" s="20" t="n"/>
      <c r="E22" s="82" t="n"/>
      <c r="F22" s="86" t="n"/>
      <c r="G22" s="132" t="inlineStr">
        <is>
          <t>[hours]</t>
        </is>
      </c>
      <c r="H22" s="132" t="inlineStr">
        <is>
          <t>[€/hr]</t>
        </is>
      </c>
      <c r="I22" s="133" t="inlineStr">
        <is>
          <t>Total Eng</t>
        </is>
      </c>
      <c r="J22" s="132" t="inlineStr">
        <is>
          <t>[hours]</t>
        </is>
      </c>
      <c r="K22" s="132" t="n"/>
      <c r="L22" s="132" t="inlineStr">
        <is>
          <t>[€/hr]</t>
        </is>
      </c>
      <c r="M22" s="133" t="inlineStr">
        <is>
          <t>Total Tech</t>
        </is>
      </c>
      <c r="N22" s="132" t="inlineStr">
        <is>
          <t>[hours]</t>
        </is>
      </c>
      <c r="O22" s="132" t="inlineStr">
        <is>
          <t>[€/hr]</t>
        </is>
      </c>
      <c r="P22" s="132" t="inlineStr">
        <is>
          <t>Total Tech</t>
        </is>
      </c>
      <c r="Q22" s="131" t="inlineStr">
        <is>
          <t>Cost</t>
        </is>
      </c>
      <c r="R22" s="62" t="n"/>
    </row>
    <row r="23" ht="15" customHeight="1" s="159">
      <c r="B23" s="246" t="n"/>
      <c r="C23" s="248" t="n"/>
      <c r="D23" s="248" t="n"/>
      <c r="E23" s="250" t="n"/>
      <c r="F23" s="251" t="n"/>
      <c r="G23" s="25" t="n"/>
      <c r="H23" s="435" t="n"/>
      <c r="I23" s="436">
        <f>H23*G23</f>
        <v/>
      </c>
      <c r="J23" s="256" t="n"/>
      <c r="K23" s="27" t="n"/>
      <c r="L23" s="435" t="n"/>
      <c r="M23" s="436">
        <f>L23*J23</f>
        <v/>
      </c>
      <c r="N23" s="25" t="n"/>
      <c r="O23" s="435" t="n"/>
      <c r="P23" s="436">
        <f>O23*N23</f>
        <v/>
      </c>
      <c r="Q23" s="437">
        <f>SUM(I23,M23,P23)</f>
        <v/>
      </c>
    </row>
    <row r="24" ht="15" customHeight="1" s="159">
      <c r="B24" s="247" t="n"/>
      <c r="C24" s="249" t="n"/>
      <c r="D24" s="249" t="n"/>
      <c r="E24" s="252" t="n"/>
      <c r="F24" s="253" t="n"/>
      <c r="G24" s="255" t="n"/>
      <c r="H24" s="438" t="n"/>
      <c r="I24" s="439">
        <f>H24*G24</f>
        <v/>
      </c>
      <c r="J24" s="206" t="n"/>
      <c r="K24" s="206" t="n"/>
      <c r="L24" s="438" t="n"/>
      <c r="M24" s="439">
        <f>L24*J24</f>
        <v/>
      </c>
      <c r="N24" s="206" t="n"/>
      <c r="O24" s="438" t="n"/>
      <c r="P24" s="439">
        <f>O24*N24</f>
        <v/>
      </c>
      <c r="Q24" s="440">
        <f>SUM(I24,M24,P24)</f>
        <v/>
      </c>
    </row>
    <row r="25" ht="15" customHeight="1" s="159">
      <c r="B25" s="247" t="n"/>
      <c r="C25" s="249" t="n"/>
      <c r="D25" s="249" t="n"/>
      <c r="E25" s="254" t="n"/>
      <c r="F25" s="253" t="n"/>
      <c r="G25" s="255" t="n"/>
      <c r="H25" s="438" t="n"/>
      <c r="I25" s="439">
        <f>H25*G25</f>
        <v/>
      </c>
      <c r="J25" s="206" t="n"/>
      <c r="K25" s="206" t="n"/>
      <c r="L25" s="438" t="n"/>
      <c r="M25" s="439">
        <f>L25*J25</f>
        <v/>
      </c>
      <c r="N25" s="206" t="n"/>
      <c r="O25" s="438" t="n"/>
      <c r="P25" s="439">
        <f>O25*N25</f>
        <v/>
      </c>
      <c r="Q25" s="440">
        <f>SUM(I25,M25,P25)</f>
        <v/>
      </c>
    </row>
    <row r="26" ht="15" customHeight="1" s="159">
      <c r="B26" s="247" t="n"/>
      <c r="C26" s="34" t="n"/>
      <c r="D26" s="34" t="n"/>
      <c r="E26" s="83" t="n"/>
      <c r="F26" s="87" t="n"/>
      <c r="G26" s="206" t="n"/>
      <c r="H26" s="438" t="n"/>
      <c r="I26" s="439">
        <f>H26*G26</f>
        <v/>
      </c>
      <c r="J26" s="206" t="n"/>
      <c r="K26" s="206" t="n"/>
      <c r="L26" s="438" t="n"/>
      <c r="M26" s="439">
        <f>L26*J26</f>
        <v/>
      </c>
      <c r="N26" s="206" t="n"/>
      <c r="O26" s="438" t="n"/>
      <c r="P26" s="439">
        <f>O26*N26</f>
        <v/>
      </c>
      <c r="Q26" s="440">
        <f>SUM(I26,M26,P26)</f>
        <v/>
      </c>
    </row>
    <row r="27" ht="15" customHeight="1" s="159">
      <c r="B27" s="247" t="n"/>
      <c r="C27" s="34" t="n"/>
      <c r="D27" s="34" t="n"/>
      <c r="E27" s="83" t="n"/>
      <c r="F27" s="87" t="n"/>
      <c r="G27" s="61" t="n"/>
      <c r="H27" s="438" t="n"/>
      <c r="I27" s="439">
        <f>H27*G27</f>
        <v/>
      </c>
      <c r="J27" s="206" t="n"/>
      <c r="K27" s="206" t="n"/>
      <c r="L27" s="438" t="n"/>
      <c r="M27" s="439">
        <f>L27*J27</f>
        <v/>
      </c>
      <c r="N27" s="206" t="n"/>
      <c r="O27" s="438" t="n"/>
      <c r="P27" s="439">
        <f>O27*N27</f>
        <v/>
      </c>
      <c r="Q27" s="440">
        <f>SUM(I27,M27,P27)</f>
        <v/>
      </c>
    </row>
    <row r="28" ht="15" customHeight="1" s="159">
      <c r="B28" s="247" t="n"/>
      <c r="C28" s="34" t="n"/>
      <c r="D28" s="34" t="n"/>
      <c r="E28" s="83" t="n"/>
      <c r="F28" s="87" t="n"/>
      <c r="G28" s="206" t="n"/>
      <c r="H28" s="438" t="n"/>
      <c r="I28" s="439">
        <f>H28*G28</f>
        <v/>
      </c>
      <c r="J28" s="206" t="n"/>
      <c r="K28" s="206" t="n"/>
      <c r="L28" s="438" t="n"/>
      <c r="M28" s="439">
        <f>L28*J28</f>
        <v/>
      </c>
      <c r="N28" s="206" t="n"/>
      <c r="O28" s="438" t="n"/>
      <c r="P28" s="439">
        <f>O28*N28</f>
        <v/>
      </c>
      <c r="Q28" s="440">
        <f>SUM(I28,M28,P28)</f>
        <v/>
      </c>
    </row>
    <row r="29" ht="15" customHeight="1" s="159">
      <c r="B29" s="247" t="n"/>
      <c r="C29" s="34" t="n"/>
      <c r="D29" s="34" t="n"/>
      <c r="E29" s="83" t="n"/>
      <c r="F29" s="87" t="n"/>
      <c r="G29" s="206" t="n"/>
      <c r="H29" s="438" t="n"/>
      <c r="I29" s="439">
        <f>H29*G29</f>
        <v/>
      </c>
      <c r="J29" s="206" t="n"/>
      <c r="K29" s="206" t="n"/>
      <c r="L29" s="438" t="n"/>
      <c r="M29" s="439">
        <f>L29*J29</f>
        <v/>
      </c>
      <c r="N29" s="206" t="n"/>
      <c r="O29" s="438" t="n"/>
      <c r="P29" s="439">
        <f>O29*N29</f>
        <v/>
      </c>
      <c r="Q29" s="440">
        <f>SUM(I29,M29,P29)</f>
        <v/>
      </c>
    </row>
    <row r="30" ht="15" customHeight="1" s="159">
      <c r="B30" s="26" t="n"/>
      <c r="C30" s="34" t="n"/>
      <c r="D30" s="34" t="n"/>
      <c r="E30" s="83" t="n"/>
      <c r="F30" s="87" t="n"/>
      <c r="G30" s="206" t="n"/>
      <c r="H30" s="438" t="n"/>
      <c r="I30" s="439">
        <f>H30*G30</f>
        <v/>
      </c>
      <c r="J30" s="206" t="n"/>
      <c r="K30" s="206" t="n"/>
      <c r="L30" s="438" t="n"/>
      <c r="M30" s="439">
        <f>L30*J30</f>
        <v/>
      </c>
      <c r="N30" s="206" t="n"/>
      <c r="O30" s="438" t="n"/>
      <c r="P30" s="439">
        <f>O30*N30</f>
        <v/>
      </c>
      <c r="Q30" s="440">
        <f>SUM(I30,M30,P30)</f>
        <v/>
      </c>
    </row>
    <row r="31" ht="15" customHeight="1" s="159">
      <c r="B31" s="26" t="n"/>
      <c r="C31" s="34" t="n"/>
      <c r="D31" s="34" t="n"/>
      <c r="E31" s="83" t="n"/>
      <c r="F31" s="87" t="n"/>
      <c r="G31" s="206" t="n"/>
      <c r="H31" s="438" t="n"/>
      <c r="I31" s="439">
        <f>H31*G31</f>
        <v/>
      </c>
      <c r="J31" s="206" t="n"/>
      <c r="K31" s="206" t="n"/>
      <c r="L31" s="438" t="n"/>
      <c r="M31" s="439">
        <f>L31*J31</f>
        <v/>
      </c>
      <c r="N31" s="206" t="n"/>
      <c r="O31" s="438" t="n"/>
      <c r="P31" s="439">
        <f>O31*N31</f>
        <v/>
      </c>
      <c r="Q31" s="440">
        <f>SUM(I31,M31,P31)</f>
        <v/>
      </c>
    </row>
    <row r="32" ht="15" customHeight="1" s="159">
      <c r="B32" s="26" t="n"/>
      <c r="C32" s="34" t="n"/>
      <c r="D32" s="34" t="n"/>
      <c r="E32" s="83" t="n"/>
      <c r="F32" s="87" t="n"/>
      <c r="G32" s="206" t="n"/>
      <c r="H32" s="438" t="n"/>
      <c r="I32" s="439">
        <f>H32*G32</f>
        <v/>
      </c>
      <c r="J32" s="206" t="n"/>
      <c r="K32" s="206" t="n"/>
      <c r="L32" s="438" t="n"/>
      <c r="M32" s="439">
        <f>L32*J32</f>
        <v/>
      </c>
      <c r="N32" s="206" t="n"/>
      <c r="O32" s="438" t="n"/>
      <c r="P32" s="439">
        <f>O32*N32</f>
        <v/>
      </c>
      <c r="Q32" s="440">
        <f>SUM(I32,M32,P32)</f>
        <v/>
      </c>
    </row>
    <row r="33" ht="15" customHeight="1" s="159">
      <c r="B33" s="26" t="n"/>
      <c r="C33" s="34" t="n"/>
      <c r="D33" s="34" t="n"/>
      <c r="E33" s="83" t="n"/>
      <c r="F33" s="87" t="n"/>
      <c r="G33" s="206" t="n"/>
      <c r="H33" s="438" t="n"/>
      <c r="I33" s="439">
        <f>H33*G33</f>
        <v/>
      </c>
      <c r="J33" s="206" t="n"/>
      <c r="K33" s="206" t="n"/>
      <c r="L33" s="438" t="n"/>
      <c r="M33" s="439">
        <f>L33*J33</f>
        <v/>
      </c>
      <c r="N33" s="206" t="n"/>
      <c r="O33" s="438" t="n"/>
      <c r="P33" s="439">
        <f>O33*N33</f>
        <v/>
      </c>
      <c r="Q33" s="440">
        <f>SUM(I33,M33,P33)</f>
        <v/>
      </c>
    </row>
    <row r="34" ht="15" customHeight="1" s="159">
      <c r="B34" s="26" t="n"/>
      <c r="C34" s="34" t="n"/>
      <c r="D34" s="34" t="n"/>
      <c r="E34" s="83" t="n"/>
      <c r="F34" s="87" t="n"/>
      <c r="G34" s="206" t="n"/>
      <c r="H34" s="438" t="n"/>
      <c r="I34" s="439">
        <f>H34*G34</f>
        <v/>
      </c>
      <c r="J34" s="206" t="n"/>
      <c r="K34" s="206" t="n"/>
      <c r="L34" s="438" t="n"/>
      <c r="M34" s="439">
        <f>L34*J34</f>
        <v/>
      </c>
      <c r="N34" s="206" t="n"/>
      <c r="O34" s="438" t="n"/>
      <c r="P34" s="439">
        <f>O34*N34</f>
        <v/>
      </c>
      <c r="Q34" s="440">
        <f>SUM(I34,M34,P34)</f>
        <v/>
      </c>
    </row>
    <row r="35" ht="15" customHeight="1" s="159">
      <c r="B35" s="26" t="n"/>
      <c r="C35" s="34" t="n"/>
      <c r="D35" s="34" t="n"/>
      <c r="E35" s="83" t="n"/>
      <c r="F35" s="87" t="n"/>
      <c r="G35" s="206" t="n"/>
      <c r="H35" s="438" t="n"/>
      <c r="I35" s="439">
        <f>H35*G35</f>
        <v/>
      </c>
      <c r="J35" s="206" t="n"/>
      <c r="K35" s="206" t="n"/>
      <c r="L35" s="438" t="n"/>
      <c r="M35" s="439">
        <f>L35*J35</f>
        <v/>
      </c>
      <c r="N35" s="206" t="n"/>
      <c r="O35" s="438" t="n"/>
      <c r="P35" s="439">
        <f>O35*N35</f>
        <v/>
      </c>
      <c r="Q35" s="440">
        <f>SUM(I35,M35,P35)</f>
        <v/>
      </c>
    </row>
    <row r="36" ht="15" customHeight="1" s="159">
      <c r="B36" s="26" t="n"/>
      <c r="C36" s="34" t="n"/>
      <c r="D36" s="34" t="n"/>
      <c r="E36" s="83" t="n"/>
      <c r="F36" s="87" t="n"/>
      <c r="G36" s="206" t="n"/>
      <c r="H36" s="438" t="n"/>
      <c r="I36" s="439">
        <f>H36*G36</f>
        <v/>
      </c>
      <c r="J36" s="206" t="n"/>
      <c r="K36" s="206" t="n"/>
      <c r="L36" s="438" t="n"/>
      <c r="M36" s="439">
        <f>L36*J36</f>
        <v/>
      </c>
      <c r="N36" s="206" t="n"/>
      <c r="O36" s="438" t="n"/>
      <c r="P36" s="439">
        <f>O36*N36</f>
        <v/>
      </c>
      <c r="Q36" s="440">
        <f>SUM(I36,M36,P36)</f>
        <v/>
      </c>
    </row>
    <row r="37" ht="15" customHeight="1" s="159">
      <c r="B37" s="26" t="n"/>
      <c r="C37" s="34" t="n"/>
      <c r="D37" s="34" t="n"/>
      <c r="E37" s="84" t="n"/>
      <c r="F37" s="88" t="n"/>
      <c r="G37" s="206" t="n"/>
      <c r="H37" s="438" t="n"/>
      <c r="I37" s="439">
        <f>H37*G37</f>
        <v/>
      </c>
      <c r="J37" s="206" t="n"/>
      <c r="K37" s="206" t="n"/>
      <c r="L37" s="438" t="n"/>
      <c r="M37" s="439">
        <f>L37*J37</f>
        <v/>
      </c>
      <c r="N37" s="206" t="n"/>
      <c r="O37" s="438" t="n"/>
      <c r="P37" s="439">
        <f>O37*N37</f>
        <v/>
      </c>
      <c r="Q37" s="440">
        <f>SUM(I37,M37,P37)</f>
        <v/>
      </c>
    </row>
    <row r="38" ht="15" customHeight="1" s="159" thickBot="1">
      <c r="B38" s="12" t="inlineStr">
        <is>
          <t>Total</t>
        </is>
      </c>
      <c r="C38" s="211" t="n"/>
      <c r="D38" s="211" t="n"/>
      <c r="E38" s="85" t="n"/>
      <c r="F38" s="89" t="n"/>
      <c r="G38" s="3">
        <f>SUM(G23:G37)</f>
        <v/>
      </c>
      <c r="H38" s="441" t="n"/>
      <c r="I38" s="442">
        <f>SUM(I23:I37)</f>
        <v/>
      </c>
      <c r="J38" s="3">
        <f>SUM(J23:J37)</f>
        <v/>
      </c>
      <c r="K38" s="3" t="n"/>
      <c r="L38" s="441" t="n"/>
      <c r="M38" s="442">
        <f>SUM(M23:M37)</f>
        <v/>
      </c>
      <c r="N38" s="3">
        <f>SUM(N23:N37)</f>
        <v/>
      </c>
      <c r="O38" s="441" t="n"/>
      <c r="P38" s="442">
        <f>SUM(P23:P37)</f>
        <v/>
      </c>
      <c r="Q38" s="443">
        <f>SUM(Q23:Q37)</f>
        <v/>
      </c>
    </row>
    <row r="39" ht="56.25" customHeight="1" s="159" thickBot="1">
      <c r="B39" s="13" t="n"/>
      <c r="C39" s="18" t="n"/>
      <c r="D39" s="18" t="n"/>
      <c r="E39" s="18" t="n"/>
      <c r="F39" s="4" t="n"/>
      <c r="G39" s="5" t="n"/>
      <c r="H39" s="444" t="n"/>
      <c r="I39" s="4" t="n"/>
      <c r="J39" s="5" t="n"/>
      <c r="K39" s="5" t="n"/>
      <c r="L39" s="444" t="n"/>
      <c r="M39" s="4" t="n"/>
      <c r="N39" s="7" t="n"/>
      <c r="O39" s="444" t="n"/>
      <c r="S39" s="445" t="n"/>
    </row>
    <row r="40" ht="15" customHeight="1" s="159">
      <c r="B40" s="114" t="inlineStr">
        <is>
          <t>Supplier to Complete (Testing related Costs)</t>
        </is>
      </c>
      <c r="C40" s="115" t="inlineStr">
        <is>
          <t>Yes</t>
        </is>
      </c>
      <c r="D40" s="115" t="inlineStr">
        <is>
          <t>No</t>
        </is>
      </c>
      <c r="E40" s="116" t="n"/>
      <c r="F40" s="116" t="n"/>
      <c r="G40" s="116" t="n"/>
      <c r="H40" s="117" t="n"/>
      <c r="I40" s="35" t="n"/>
      <c r="J40" s="109" t="inlineStr">
        <is>
          <t>Supplier to Complete (Design Mock Up Costs)</t>
        </is>
      </c>
      <c r="K40" s="110" t="n"/>
      <c r="L40" s="110" t="n"/>
      <c r="M40" s="110" t="n"/>
      <c r="N40" s="110" t="n"/>
      <c r="O40" s="110" t="n"/>
      <c r="P40" s="110" t="n"/>
      <c r="Q40" s="108" t="n"/>
    </row>
    <row r="41" ht="15" customHeight="1" s="159">
      <c r="B41" s="446" t="n"/>
      <c r="C41" s="447" t="n"/>
      <c r="D41" s="447" t="n"/>
      <c r="E41" s="119" t="inlineStr">
        <is>
          <t>type of</t>
        </is>
      </c>
      <c r="F41" s="119" t="inlineStr">
        <is>
          <t xml:space="preserve"># of </t>
        </is>
      </c>
      <c r="G41" s="119" t="inlineStr">
        <is>
          <t>Cost</t>
        </is>
      </c>
      <c r="H41" s="120" t="n"/>
      <c r="I41" s="19" t="n"/>
      <c r="J41" s="45" t="n"/>
      <c r="K41" s="164" t="inlineStr">
        <is>
          <t xml:space="preserve"> Properties/Parts required to complete design (i.e. Stereolitography support parts)</t>
        </is>
      </c>
      <c r="L41" s="125" t="n"/>
      <c r="M41" s="125" t="n"/>
      <c r="N41" s="126" t="n"/>
      <c r="O41" s="126" t="n"/>
      <c r="P41" s="126" t="n"/>
      <c r="Q41" s="46" t="n"/>
      <c r="S41" s="445" t="n"/>
    </row>
    <row r="42" ht="23.25" customHeight="1" s="159">
      <c r="B42" s="448" t="n"/>
      <c r="C42" s="434" t="n"/>
      <c r="D42" s="434" t="n"/>
      <c r="E42" s="121" t="inlineStr">
        <is>
          <t>test</t>
        </is>
      </c>
      <c r="F42" s="121" t="inlineStr">
        <is>
          <t>Tests</t>
        </is>
      </c>
      <c r="G42" s="121" t="inlineStr">
        <is>
          <t>per Test</t>
        </is>
      </c>
      <c r="H42" s="122" t="inlineStr">
        <is>
          <t>Cost</t>
        </is>
      </c>
      <c r="J42" s="163" t="inlineStr">
        <is>
          <t>Design Validation Parts</t>
        </is>
      </c>
      <c r="K42" s="14" t="n"/>
      <c r="L42" s="14" t="n"/>
      <c r="M42" s="127" t="inlineStr">
        <is>
          <t>Purpose</t>
        </is>
      </c>
      <c r="N42" s="44" t="n"/>
      <c r="O42" s="95" t="inlineStr">
        <is>
          <t>[QTY]</t>
        </is>
      </c>
      <c r="P42" s="95" t="inlineStr">
        <is>
          <t>[€/pc]</t>
        </is>
      </c>
      <c r="Q42" s="11" t="inlineStr">
        <is>
          <t>Cost</t>
        </is>
      </c>
    </row>
    <row r="43" ht="15" customHeight="1" s="159">
      <c r="B43" s="449" t="n"/>
      <c r="C43" s="450" t="n"/>
      <c r="D43" s="451" t="n"/>
      <c r="E43" s="94" t="n"/>
      <c r="F43" s="220" t="n"/>
      <c r="G43" s="452" t="n"/>
      <c r="H43" s="453">
        <f>G43*F43</f>
        <v/>
      </c>
      <c r="J43" s="454" t="n"/>
      <c r="K43" s="450" t="n"/>
      <c r="L43" s="451" t="n"/>
      <c r="M43" s="455" t="n"/>
      <c r="N43" s="456" t="n"/>
      <c r="O43" s="220" t="n"/>
      <c r="P43" s="457" t="n"/>
      <c r="Q43" s="458">
        <f>P43*O43</f>
        <v/>
      </c>
    </row>
    <row r="44" ht="15" customHeight="1" s="159">
      <c r="B44" s="459" t="n"/>
      <c r="C44" s="460" t="n"/>
      <c r="D44" s="461" t="n"/>
      <c r="E44" s="139" t="n"/>
      <c r="F44" s="221" t="n"/>
      <c r="G44" s="462" t="n"/>
      <c r="H44" s="463">
        <f>G44*F44</f>
        <v/>
      </c>
      <c r="J44" s="464" t="n"/>
      <c r="K44" s="421" t="n"/>
      <c r="L44" s="465" t="n"/>
      <c r="M44" s="466" t="n"/>
      <c r="N44" s="467" t="n"/>
      <c r="O44" s="468" t="n"/>
      <c r="P44" s="469" t="n"/>
      <c r="Q44" s="470">
        <f>P44*O44</f>
        <v/>
      </c>
    </row>
    <row r="45" ht="15" customHeight="1" s="159">
      <c r="B45" s="471" t="inlineStr">
        <is>
          <t>Design validation testing subtotals</t>
        </is>
      </c>
      <c r="C45" s="418" t="n"/>
      <c r="D45" s="472" t="n"/>
      <c r="E45" s="138" t="n"/>
      <c r="F45" s="473" t="n"/>
      <c r="G45" s="474" t="n"/>
      <c r="H45" s="475">
        <f>SUM(H43:H44)</f>
        <v/>
      </c>
      <c r="J45" s="163" t="inlineStr">
        <is>
          <t>Process Validation Parts</t>
        </is>
      </c>
      <c r="K45" s="14" t="n"/>
      <c r="L45" s="14" t="n"/>
      <c r="M45" s="476" t="inlineStr">
        <is>
          <t>Purpose</t>
        </is>
      </c>
      <c r="N45" s="477" t="n"/>
      <c r="O45" s="478" t="inlineStr">
        <is>
          <t>[QTY]</t>
        </is>
      </c>
      <c r="P45" s="479" t="inlineStr">
        <is>
          <t>[€/pc]</t>
        </is>
      </c>
      <c r="Q45" s="480" t="inlineStr">
        <is>
          <t>Cost</t>
        </is>
      </c>
    </row>
    <row r="46" ht="15" customHeight="1" s="159">
      <c r="B46" s="481" t="n"/>
      <c r="C46" s="421" t="n"/>
      <c r="D46" s="465" t="n"/>
      <c r="E46" s="207" t="n"/>
      <c r="F46" s="468" t="n"/>
      <c r="G46" s="482" t="n"/>
      <c r="H46" s="483">
        <f>G46*F46</f>
        <v/>
      </c>
      <c r="J46" s="355" t="n"/>
      <c r="K46" s="356" t="n"/>
      <c r="L46" s="357" t="n"/>
      <c r="M46" s="455" t="n"/>
      <c r="N46" s="456" t="n"/>
      <c r="O46" s="220" t="n"/>
      <c r="P46" s="457" t="n"/>
      <c r="Q46" s="458">
        <f>P46*O46</f>
        <v/>
      </c>
    </row>
    <row r="47" ht="15" customHeight="1" s="159">
      <c r="B47" s="459" t="n"/>
      <c r="C47" s="460" t="n"/>
      <c r="D47" s="461" t="n"/>
      <c r="E47" s="139" t="n"/>
      <c r="F47" s="484" t="n"/>
      <c r="G47" s="462" t="n"/>
      <c r="H47" s="463">
        <f>G47*F47</f>
        <v/>
      </c>
      <c r="J47" s="361" t="n"/>
      <c r="K47" s="362" t="n"/>
      <c r="L47" s="363" t="n"/>
      <c r="M47" s="466" t="n"/>
      <c r="N47" s="467" t="n"/>
      <c r="O47" s="468" t="n"/>
      <c r="P47" s="469" t="n"/>
      <c r="Q47" s="470">
        <f>P47*O47</f>
        <v/>
      </c>
    </row>
    <row r="48" ht="15" customHeight="1" s="159">
      <c r="B48" s="471" t="inlineStr">
        <is>
          <t>Self-Certification testing subtotals</t>
        </is>
      </c>
      <c r="C48" s="418" t="n"/>
      <c r="D48" s="472" t="n"/>
      <c r="E48" s="138" t="n"/>
      <c r="F48" s="473" t="n"/>
      <c r="G48" s="474" t="n"/>
      <c r="H48" s="475">
        <f>SUM(H46:H47)</f>
        <v/>
      </c>
      <c r="J48" s="361" t="n"/>
      <c r="K48" s="362" t="n"/>
      <c r="L48" s="363" t="n"/>
      <c r="M48" s="485" t="n"/>
      <c r="N48" s="486" t="n"/>
      <c r="O48" s="484" t="n"/>
      <c r="P48" s="487" t="n"/>
      <c r="Q48" s="458">
        <f>P48*O48</f>
        <v/>
      </c>
    </row>
    <row r="49" ht="15" customHeight="1" s="159" thickBot="1">
      <c r="B49" s="488" t="n"/>
      <c r="C49" s="421" t="n"/>
      <c r="D49" s="465" t="n"/>
      <c r="E49" s="208" t="n"/>
      <c r="F49" s="468" t="n"/>
      <c r="G49" s="482" t="n"/>
      <c r="H49" s="483">
        <f>G49*F49</f>
        <v/>
      </c>
      <c r="J49" s="209" t="inlineStr">
        <is>
          <t>Total</t>
        </is>
      </c>
      <c r="K49" s="210" t="n"/>
      <c r="L49" s="210" t="n"/>
      <c r="M49" s="489" t="n"/>
      <c r="N49" s="490" t="n"/>
      <c r="O49" s="490" t="n"/>
      <c r="P49" s="491" t="n"/>
      <c r="Q49" s="492">
        <f>SUM(Q40:Q48)</f>
        <v/>
      </c>
    </row>
    <row r="50" ht="15" customHeight="1" s="159">
      <c r="B50" s="488" t="n"/>
      <c r="C50" s="421" t="n"/>
      <c r="D50" s="465" t="n"/>
      <c r="E50" s="208" t="n"/>
      <c r="F50" s="468" t="n"/>
      <c r="G50" s="482" t="n"/>
      <c r="H50" s="483">
        <f>G50*F50</f>
        <v/>
      </c>
      <c r="J50" s="18" t="n"/>
      <c r="K50" s="18" t="n"/>
      <c r="L50" s="18" t="n"/>
      <c r="M50" s="18" t="n"/>
      <c r="Q50" s="445" t="n"/>
    </row>
    <row r="51" ht="15" customHeight="1" s="159" thickBot="1">
      <c r="B51" s="488" t="n"/>
      <c r="C51" s="421" t="n"/>
      <c r="D51" s="465" t="n"/>
      <c r="E51" s="208" t="n"/>
      <c r="F51" s="468" t="n"/>
      <c r="G51" s="482" t="n"/>
      <c r="H51" s="483">
        <f>G51*F51</f>
        <v/>
      </c>
      <c r="J51" s="368" t="n"/>
      <c r="M51" s="152" t="n"/>
      <c r="N51" s="153" t="n"/>
      <c r="O51" s="154" t="n"/>
      <c r="P51" s="493" t="n"/>
      <c r="Q51" s="156" t="n"/>
    </row>
    <row r="52" ht="15" customHeight="1" s="159">
      <c r="B52" s="459" t="n"/>
      <c r="C52" s="460" t="n"/>
      <c r="D52" s="461" t="n"/>
      <c r="E52" s="139" t="n"/>
      <c r="F52" s="484" t="n"/>
      <c r="G52" s="462" t="n"/>
      <c r="H52" s="463">
        <f>G52*F52</f>
        <v/>
      </c>
      <c r="J52" s="212" t="inlineStr">
        <is>
          <t xml:space="preserve">FCA to identify quantities, Supplier to Complete </t>
        </is>
      </c>
      <c r="K52" s="213" t="n"/>
      <c r="L52" s="213" t="n"/>
      <c r="M52" s="213" t="n"/>
      <c r="N52" s="213" t="n"/>
      <c r="O52" s="213" t="n"/>
      <c r="P52" s="213" t="n"/>
      <c r="Q52" s="214" t="n"/>
    </row>
    <row r="53" ht="15" customHeight="1" s="159">
      <c r="B53" s="471" t="inlineStr">
        <is>
          <t>Homologation testing subtotals (where applicable)</t>
        </is>
      </c>
      <c r="C53" s="418" t="n"/>
      <c r="D53" s="472" t="n"/>
      <c r="E53" s="138" t="n"/>
      <c r="F53" s="473" t="n"/>
      <c r="G53" s="474" t="n"/>
      <c r="H53" s="475">
        <f>SUM(H49:H52)</f>
        <v/>
      </c>
      <c r="J53" s="45" t="n"/>
      <c r="K53" s="125" t="inlineStr">
        <is>
          <t xml:space="preserve"> Properties/Parts required to complete FCA design (previously ordered by SK-F and other)</t>
        </is>
      </c>
      <c r="L53" s="157" t="n"/>
      <c r="M53" s="125" t="n"/>
      <c r="N53" s="126" t="n"/>
      <c r="O53" s="126" t="n"/>
      <c r="P53" s="126" t="n"/>
      <c r="Q53" s="46" t="n"/>
    </row>
    <row r="54" ht="15" customHeight="1" s="159" thickBot="1">
      <c r="B54" s="494" t="inlineStr">
        <is>
          <t>Total</t>
        </is>
      </c>
      <c r="C54" s="490" t="n"/>
      <c r="D54" s="491" t="n"/>
      <c r="E54" s="123" t="n"/>
      <c r="F54" s="495" t="n"/>
      <c r="G54" s="496" t="n"/>
      <c r="H54" s="497">
        <f>SUM(H45,H48,H53)</f>
        <v/>
      </c>
      <c r="J54" s="158" t="n"/>
      <c r="K54" s="14" t="n"/>
      <c r="L54" s="14" t="n"/>
      <c r="M54" s="127" t="n"/>
      <c r="N54" s="44" t="n"/>
      <c r="O54" s="95" t="n"/>
      <c r="P54" s="95" t="n"/>
      <c r="Q54" s="11" t="n"/>
    </row>
    <row r="55" ht="15" customHeight="1" s="159">
      <c r="G55" s="498" t="n"/>
      <c r="H55" s="498" t="n"/>
      <c r="J55" s="222" t="inlineStr">
        <is>
          <t>Design Validation Parts</t>
        </is>
      </c>
      <c r="K55" s="499" t="n"/>
      <c r="L55" s="499" t="n"/>
      <c r="M55" s="476" t="inlineStr">
        <is>
          <t>Purpose</t>
        </is>
      </c>
      <c r="N55" s="477" t="n"/>
      <c r="O55" s="478" t="inlineStr">
        <is>
          <t>[QTY]</t>
        </is>
      </c>
      <c r="P55" s="478" t="inlineStr">
        <is>
          <t>[€/pc]</t>
        </is>
      </c>
      <c r="Q55" s="500" t="inlineStr">
        <is>
          <t>Cost</t>
        </is>
      </c>
    </row>
    <row r="56" ht="15" customHeight="1" s="159">
      <c r="B56" s="160" t="n"/>
      <c r="C56" s="161" t="n"/>
      <c r="D56" s="161" t="n"/>
      <c r="E56" s="161" t="n"/>
      <c r="F56" s="501" t="n"/>
      <c r="I56" s="162" t="n"/>
      <c r="J56" s="355" t="n"/>
      <c r="K56" s="502" t="n"/>
      <c r="L56" s="503" t="n"/>
      <c r="M56" s="455" t="n"/>
      <c r="N56" s="456" t="n"/>
      <c r="O56" s="220" t="n"/>
      <c r="P56" s="457" t="n"/>
      <c r="Q56" s="458">
        <f>P56*O56</f>
        <v/>
      </c>
    </row>
    <row r="57" ht="15" customHeight="1" s="159">
      <c r="J57" s="361" t="n"/>
      <c r="K57" s="504" t="n"/>
      <c r="L57" s="505" t="n"/>
      <c r="M57" s="466" t="n"/>
      <c r="N57" s="467" t="n"/>
      <c r="O57" s="468" t="n"/>
      <c r="P57" s="469" t="n"/>
      <c r="Q57" s="470" t="n"/>
    </row>
    <row r="58" ht="15" customHeight="1" s="159">
      <c r="J58" s="361" t="n"/>
      <c r="K58" s="504" t="n"/>
      <c r="L58" s="505" t="n"/>
      <c r="M58" s="485" t="n"/>
      <c r="N58" s="486" t="n"/>
      <c r="O58" s="484" t="n"/>
      <c r="P58" s="487" t="n"/>
      <c r="Q58" s="463" t="n"/>
    </row>
    <row r="59" ht="15" customHeight="1" s="159">
      <c r="J59" s="222" t="inlineStr">
        <is>
          <t>Process Validation Parts</t>
        </is>
      </c>
      <c r="K59" s="499" t="n"/>
      <c r="L59" s="499" t="n"/>
      <c r="M59" s="476" t="inlineStr">
        <is>
          <t>Purpose</t>
        </is>
      </c>
      <c r="N59" s="477" t="n"/>
      <c r="O59" s="478" t="inlineStr">
        <is>
          <t>[QTY]</t>
        </is>
      </c>
      <c r="P59" s="479" t="inlineStr">
        <is>
          <t>[€/pc]</t>
        </is>
      </c>
      <c r="Q59" s="480" t="inlineStr">
        <is>
          <t>Cost</t>
        </is>
      </c>
    </row>
    <row r="60" ht="15" customHeight="1" s="159">
      <c r="J60" s="355" t="n"/>
      <c r="K60" s="502" t="n"/>
      <c r="L60" s="503" t="n"/>
      <c r="M60" s="455" t="n"/>
      <c r="N60" s="456" t="n"/>
      <c r="O60" s="220" t="n"/>
      <c r="P60" s="457" t="n"/>
      <c r="Q60" s="458">
        <f>P60*O60</f>
        <v/>
      </c>
    </row>
    <row r="61" ht="15" customHeight="1" s="159">
      <c r="J61" s="361" t="n"/>
      <c r="K61" s="504" t="n"/>
      <c r="L61" s="505" t="n"/>
      <c r="M61" s="466" t="n"/>
      <c r="N61" s="467" t="n"/>
      <c r="O61" s="468" t="n"/>
      <c r="P61" s="469" t="n"/>
      <c r="Q61" s="470">
        <f>P61*O61</f>
        <v/>
      </c>
    </row>
    <row r="62" ht="15" customHeight="1" s="159">
      <c r="J62" s="361" t="n"/>
      <c r="K62" s="504" t="n"/>
      <c r="L62" s="505" t="n"/>
      <c r="M62" s="485" t="n"/>
      <c r="N62" s="486" t="n"/>
      <c r="O62" s="484" t="n"/>
      <c r="P62" s="487" t="n"/>
      <c r="Q62" s="458">
        <f>P62*O62</f>
        <v/>
      </c>
    </row>
    <row r="63" ht="15" customHeight="1" s="159" thickBot="1">
      <c r="J63" s="209" t="inlineStr">
        <is>
          <t>Total</t>
        </is>
      </c>
      <c r="K63" s="506" t="n"/>
      <c r="L63" s="506" t="n"/>
      <c r="M63" s="506" t="n"/>
      <c r="N63" s="507" t="n"/>
      <c r="O63" s="507" t="n"/>
      <c r="P63" s="508" t="n"/>
      <c r="Q63" s="509">
        <f>SUM(Q52:Q62)</f>
        <v/>
      </c>
    </row>
    <row r="64" ht="15" customHeight="1" s="159">
      <c r="J64" s="18" t="n"/>
      <c r="K64" s="18" t="n"/>
      <c r="L64" s="18" t="n"/>
      <c r="M64" s="18" t="n"/>
    </row>
    <row r="65" ht="15" customHeight="1" s="159" thickBot="1">
      <c r="J65" s="18" t="n"/>
      <c r="K65" s="18" t="n"/>
      <c r="L65" s="18" t="n"/>
      <c r="M65" s="18" t="n"/>
    </row>
    <row r="66" ht="15" customHeight="1" s="159" thickBot="1">
      <c r="B66" s="112" t="inlineStr">
        <is>
          <t>Grand Total</t>
        </is>
      </c>
      <c r="C66" s="113" t="n"/>
      <c r="D66" s="113" t="n"/>
      <c r="E66" s="113" t="n"/>
      <c r="F66" s="510">
        <f>$Q$38+$Q$63+$H$54+Q63+Q49</f>
        <v/>
      </c>
      <c r="G66" s="511" t="n"/>
      <c r="H66" s="512" t="n"/>
      <c r="J66" s="18" t="n"/>
      <c r="K66" s="18" t="n"/>
      <c r="L66" s="18" t="n"/>
      <c r="M66" s="18" t="n"/>
    </row>
    <row r="67" ht="15" customHeight="1" s="159">
      <c r="J67" s="18" t="n"/>
      <c r="K67" s="18" t="n"/>
      <c r="L67" s="18" t="n"/>
      <c r="M67" s="18" t="n"/>
    </row>
    <row r="68" ht="15" customHeight="1" s="159" thickBot="1"/>
    <row r="69" ht="15" customHeight="1" s="159">
      <c r="B69" s="109" t="inlineStr">
        <is>
          <t>Supplier to Complete</t>
        </is>
      </c>
      <c r="C69" s="110" t="n"/>
      <c r="D69" s="110" t="n"/>
      <c r="E69" s="111" t="n"/>
      <c r="F69" s="111" t="n"/>
      <c r="G69" s="111" t="n"/>
      <c r="H69" s="111" t="n"/>
      <c r="I69" s="111" t="n"/>
      <c r="J69" s="111" t="n"/>
      <c r="K69" s="377" t="n"/>
      <c r="L69" s="513" t="n"/>
      <c r="N69" s="514" t="inlineStr">
        <is>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is>
      </c>
      <c r="O69" s="515" t="n"/>
      <c r="P69" s="516" t="n"/>
    </row>
    <row r="70" ht="15" customHeight="1" s="159">
      <c r="B70" s="517" t="inlineStr">
        <is>
          <t>Team Roster</t>
        </is>
      </c>
      <c r="C70" s="518" t="n"/>
      <c r="D70" s="518" t="n"/>
      <c r="E70" s="518" t="n"/>
      <c r="F70" s="518" t="n"/>
      <c r="G70" s="518" t="n"/>
      <c r="H70" s="519" t="n"/>
      <c r="I70" s="118" t="inlineStr">
        <is>
          <t>Role</t>
        </is>
      </c>
      <c r="J70" s="124" t="inlineStr">
        <is>
          <t>Hours</t>
        </is>
      </c>
      <c r="K70" s="520" t="inlineStr">
        <is>
          <t>Years Experience</t>
        </is>
      </c>
      <c r="L70" s="521" t="n"/>
      <c r="N70" s="522" t="n"/>
      <c r="P70" s="523" t="n"/>
    </row>
    <row r="71" ht="15" customHeight="1" s="159">
      <c r="B71" s="524" t="n"/>
      <c r="C71" s="450" t="n"/>
      <c r="D71" s="450" t="n"/>
      <c r="E71" s="450" t="n"/>
      <c r="F71" s="450" t="n"/>
      <c r="G71" s="450" t="n"/>
      <c r="H71" s="451" t="n"/>
      <c r="I71" s="91" t="n"/>
      <c r="J71" s="47" t="n"/>
      <c r="K71" s="525" t="n"/>
      <c r="L71" s="526" t="n"/>
      <c r="N71" s="522" t="n"/>
      <c r="P71" s="523" t="n"/>
    </row>
    <row r="72" ht="15" customHeight="1" s="159">
      <c r="B72" s="192" t="n"/>
      <c r="C72" s="405" t="n"/>
      <c r="D72" s="405" t="n"/>
      <c r="E72" s="405" t="n"/>
      <c r="F72" s="405" t="n"/>
      <c r="G72" s="405" t="n"/>
      <c r="H72" s="406" t="n"/>
      <c r="I72" s="193" t="n"/>
      <c r="J72" s="87" t="n"/>
      <c r="K72" s="527" t="n"/>
      <c r="L72" s="422" t="n"/>
      <c r="N72" s="522" t="n"/>
      <c r="P72" s="523" t="n"/>
    </row>
    <row r="73" ht="15" customHeight="1" s="159">
      <c r="B73" s="192" t="n"/>
      <c r="C73" s="405" t="n"/>
      <c r="D73" s="405" t="n"/>
      <c r="E73" s="405" t="n"/>
      <c r="F73" s="405" t="n"/>
      <c r="G73" s="405" t="n"/>
      <c r="H73" s="406" t="n"/>
      <c r="I73" s="93" t="n"/>
      <c r="J73" s="87" t="n"/>
      <c r="K73" s="527" t="n"/>
      <c r="L73" s="422" t="n"/>
      <c r="N73" s="522" t="n"/>
      <c r="P73" s="523" t="n"/>
    </row>
    <row r="74" ht="15" customHeight="1" s="159">
      <c r="B74" s="92" t="n"/>
      <c r="C74" s="405" t="n"/>
      <c r="D74" s="405" t="n"/>
      <c r="E74" s="405" t="n"/>
      <c r="F74" s="405" t="n"/>
      <c r="G74" s="405" t="n"/>
      <c r="H74" s="406" t="n"/>
      <c r="I74" s="93" t="n"/>
      <c r="J74" s="87" t="n"/>
      <c r="K74" s="527" t="n"/>
      <c r="L74" s="422" t="n"/>
      <c r="N74" s="522" t="n"/>
      <c r="P74" s="523" t="n"/>
    </row>
    <row r="75" ht="15" customHeight="1" s="159">
      <c r="B75" s="528" t="n"/>
      <c r="C75" s="421" t="n"/>
      <c r="D75" s="421" t="n"/>
      <c r="E75" s="421" t="n"/>
      <c r="F75" s="421" t="n"/>
      <c r="G75" s="421" t="n"/>
      <c r="H75" s="465" t="n"/>
      <c r="I75" s="87" t="n"/>
      <c r="J75" s="87" t="n"/>
      <c r="K75" s="527" t="n"/>
      <c r="L75" s="422" t="n"/>
      <c r="N75" s="522" t="n"/>
      <c r="P75" s="523" t="n"/>
    </row>
    <row r="76" ht="15" customHeight="1" s="159">
      <c r="B76" s="528" t="n"/>
      <c r="C76" s="421" t="n"/>
      <c r="D76" s="421" t="n"/>
      <c r="E76" s="421" t="n"/>
      <c r="F76" s="421" t="n"/>
      <c r="G76" s="421" t="n"/>
      <c r="H76" s="465" t="n"/>
      <c r="I76" s="87" t="n"/>
      <c r="J76" s="87" t="n"/>
      <c r="K76" s="527" t="n"/>
      <c r="L76" s="422" t="n"/>
      <c r="N76" s="522" t="n"/>
      <c r="P76" s="523" t="n"/>
    </row>
    <row r="77" ht="15" customHeight="1" s="159">
      <c r="B77" s="404" t="n"/>
      <c r="C77" s="405" t="n"/>
      <c r="D77" s="405" t="n"/>
      <c r="E77" s="405" t="n"/>
      <c r="F77" s="405" t="n"/>
      <c r="G77" s="405" t="n"/>
      <c r="H77" s="406" t="n"/>
      <c r="I77" s="87" t="n"/>
      <c r="J77" s="87" t="n"/>
      <c r="K77" s="527" t="n"/>
      <c r="L77" s="422" t="n"/>
      <c r="N77" s="529" t="n"/>
      <c r="O77" s="44" t="n"/>
      <c r="P77" s="530" t="n"/>
    </row>
    <row r="78" ht="15" customHeight="1" s="159">
      <c r="B78" s="404" t="n"/>
      <c r="C78" s="405" t="n"/>
      <c r="D78" s="405" t="n"/>
      <c r="E78" s="405" t="n"/>
      <c r="F78" s="405" t="n"/>
      <c r="G78" s="405" t="n"/>
      <c r="H78" s="406" t="n"/>
      <c r="I78" s="87" t="n"/>
      <c r="J78" s="87" t="n"/>
      <c r="K78" s="527" t="n"/>
      <c r="L78" s="422" t="n"/>
    </row>
    <row r="79" ht="15" customHeight="1" s="159" thickBot="1">
      <c r="B79" s="531" t="n"/>
      <c r="C79" s="429" t="n"/>
      <c r="D79" s="429" t="n"/>
      <c r="E79" s="429" t="n"/>
      <c r="F79" s="429" t="n"/>
      <c r="G79" s="429" t="n"/>
      <c r="H79" s="532" t="n"/>
      <c r="I79" s="76" t="n"/>
      <c r="J79" s="76" t="n"/>
      <c r="K79" s="533" t="n"/>
      <c r="L79" s="430" t="n"/>
    </row>
    <row r="80" ht="15" customHeight="1" s="159"/>
  </sheetData>
  <mergeCells count="69">
    <mergeCell ref="K74:L74"/>
    <mergeCell ref="O5:Q5"/>
    <mergeCell ref="E10:J10"/>
    <mergeCell ref="C20:C21"/>
    <mergeCell ref="O4:Q4"/>
    <mergeCell ref="E20:E21"/>
    <mergeCell ref="E9:J9"/>
    <mergeCell ref="B44:D44"/>
    <mergeCell ref="B53:D53"/>
    <mergeCell ref="F66:H66"/>
    <mergeCell ref="F20:F21"/>
    <mergeCell ref="E6:J6"/>
    <mergeCell ref="O16:Q16"/>
    <mergeCell ref="B76:H76"/>
    <mergeCell ref="K79:L79"/>
    <mergeCell ref="E11:J11"/>
    <mergeCell ref="B79:H79"/>
    <mergeCell ref="B49:D49"/>
    <mergeCell ref="B75:H75"/>
    <mergeCell ref="O12:Q12"/>
    <mergeCell ref="C41:C42"/>
    <mergeCell ref="K76:L76"/>
    <mergeCell ref="D41:D42"/>
    <mergeCell ref="K72:L72"/>
    <mergeCell ref="F56:H56"/>
    <mergeCell ref="O17:Q17"/>
    <mergeCell ref="J43:L43"/>
    <mergeCell ref="O8:Q8"/>
    <mergeCell ref="K75:L75"/>
    <mergeCell ref="B51:D51"/>
    <mergeCell ref="O11:Q11"/>
    <mergeCell ref="E7:J7"/>
    <mergeCell ref="J51:L51"/>
    <mergeCell ref="M49:P49"/>
    <mergeCell ref="O14:Q14"/>
    <mergeCell ref="K77:L77"/>
    <mergeCell ref="B45:D45"/>
    <mergeCell ref="B71:H71"/>
    <mergeCell ref="B50:D50"/>
    <mergeCell ref="O13:Q13"/>
    <mergeCell ref="B70:H70"/>
    <mergeCell ref="K71:L71"/>
    <mergeCell ref="O7:Q7"/>
    <mergeCell ref="B20:B21"/>
    <mergeCell ref="R21:T22"/>
    <mergeCell ref="E12:J12"/>
    <mergeCell ref="D20:D21"/>
    <mergeCell ref="E13:J18"/>
    <mergeCell ref="K70:L70"/>
    <mergeCell ref="B47:D47"/>
    <mergeCell ref="J44:L44"/>
    <mergeCell ref="O10:Q10"/>
    <mergeCell ref="N69:P77"/>
    <mergeCell ref="B54:D54"/>
    <mergeCell ref="K73:L73"/>
    <mergeCell ref="O6:Q6"/>
    <mergeCell ref="B2:C3"/>
    <mergeCell ref="B46:D46"/>
    <mergeCell ref="O18:Q18"/>
    <mergeCell ref="E5:J5"/>
    <mergeCell ref="O9:Q9"/>
    <mergeCell ref="E8:J8"/>
    <mergeCell ref="B41:B42"/>
    <mergeCell ref="B52:D52"/>
    <mergeCell ref="B43:D43"/>
    <mergeCell ref="E4:J4"/>
    <mergeCell ref="K69:L69"/>
    <mergeCell ref="B48:D48"/>
    <mergeCell ref="K78:L78"/>
  </mergeCells>
  <printOptions horizontalCentered="1" verticalCentered="1"/>
  <pageMargins left="0.3" right="0.3" top="0.3" bottom="0.3" header="0.3" footer="0.3"/>
  <pageSetup orientation="landscape" scale="46" cellComments="atEnd"/>
  <legacyDrawing xmlns:r="http://schemas.openxmlformats.org/officeDocument/2006/relationships" r:id="anysvml"/>
</worksheet>
</file>

<file path=xl/worksheets/sheet4.xml><?xml version="1.0" encoding="utf-8"?>
<worksheet xmlns="http://schemas.openxmlformats.org/spreadsheetml/2006/main">
  <sheetPr>
    <tabColor rgb="FF00B0F0"/>
    <outlinePr summaryBelow="1" summaryRight="1"/>
    <pageSetUpPr/>
  </sheetPr>
  <dimension ref="B2:X79"/>
  <sheetViews>
    <sheetView showGridLines="0" zoomScale="85" zoomScaleNormal="85" zoomScaleSheetLayoutView="80" workbookViewId="0">
      <selection activeCell="B27" sqref="B27"/>
    </sheetView>
  </sheetViews>
  <sheetFormatPr baseColWidth="8" defaultRowHeight="12.75"/>
  <cols>
    <col width="63.85546875" customWidth="1" style="159" min="2" max="2"/>
    <col width="22.5703125" customWidth="1" style="159" min="3" max="3"/>
    <col width="20.85546875" customWidth="1" style="159" min="4" max="4"/>
    <col width="9.140625" customWidth="1" style="159" min="5" max="5"/>
    <col width="12.42578125" customWidth="1" style="159" min="6" max="6"/>
    <col width="10.7109375" customWidth="1" style="159" min="7" max="7"/>
    <col width="14.140625" customWidth="1" style="159" min="8" max="8"/>
    <col width="15.7109375" customWidth="1" style="159" min="9" max="9"/>
    <col width="10.7109375" customWidth="1" style="159" min="10" max="10"/>
    <col width="7.85546875" customWidth="1" style="159" min="11" max="11"/>
    <col width="13.140625" customWidth="1" style="159" min="12" max="12"/>
    <col width="15.7109375" customWidth="1" style="159" min="13" max="13"/>
    <col width="21.85546875" customWidth="1" style="159" min="14" max="14"/>
    <col width="13.140625" customWidth="1" style="159" min="15" max="15"/>
    <col width="15.7109375" customWidth="1" style="159" min="16" max="17"/>
    <col width="26.42578125" customWidth="1" style="159" min="18" max="18"/>
    <col width="12.28515625" bestFit="1" customWidth="1" style="159" min="19" max="19"/>
  </cols>
  <sheetData>
    <row r="1" ht="13.5" customHeight="1" s="159" thickBot="1"/>
    <row r="2" ht="23.25" customHeight="1" s="159">
      <c r="B2" s="415" t="inlineStr">
        <is>
          <t>Supplier ED&amp;D Price Break Down Template
ED&amp;D PBD</t>
        </is>
      </c>
      <c r="C2" s="416" t="n"/>
      <c r="D2" s="43" t="n"/>
      <c r="E2" s="98" t="inlineStr">
        <is>
          <t>Project Scope</t>
        </is>
      </c>
      <c r="F2" s="99" t="n"/>
      <c r="G2" s="99" t="n"/>
      <c r="H2" s="99" t="n"/>
      <c r="I2" s="99" t="n"/>
      <c r="J2" s="140" t="n"/>
      <c r="L2" s="98" t="inlineStr">
        <is>
          <t>FCA Engineer to Complete the following:</t>
        </is>
      </c>
      <c r="M2" s="99" t="n"/>
      <c r="N2" s="100" t="n"/>
      <c r="O2" s="100" t="n"/>
      <c r="P2" s="100" t="n"/>
      <c r="Q2" s="101" t="n"/>
      <c r="R2" s="16" t="n"/>
    </row>
    <row r="3" ht="21" customHeight="1" s="159">
      <c r="B3" s="62" t="n"/>
      <c r="C3" s="38" t="n"/>
      <c r="E3" s="102" t="inlineStr">
        <is>
          <t>FCA Engineer to Complete the following:</t>
        </is>
      </c>
      <c r="F3" s="103" t="n"/>
      <c r="G3" s="103" t="n"/>
      <c r="H3" s="103" t="n"/>
      <c r="I3" s="103" t="n"/>
      <c r="J3" s="141" t="n"/>
      <c r="L3" s="40" t="inlineStr">
        <is>
          <t>Return to :</t>
        </is>
      </c>
      <c r="M3" s="36" t="n"/>
      <c r="N3" s="36" t="n"/>
      <c r="O3" s="36" t="inlineStr">
        <is>
          <t>Name / NIC</t>
        </is>
      </c>
      <c r="Q3" s="38" t="n"/>
      <c r="R3" s="22" t="n"/>
      <c r="S3" s="22" t="n"/>
      <c r="U3" s="22" t="n"/>
      <c r="V3" s="16" t="n"/>
      <c r="W3" s="16" t="n"/>
      <c r="X3" s="16" t="n"/>
    </row>
    <row r="4" ht="18" customHeight="1" s="159">
      <c r="B4" s="62" t="n"/>
      <c r="C4" s="38" t="n"/>
      <c r="D4" s="28" t="n"/>
      <c r="E4" s="417" t="inlineStr">
        <is>
          <t>Part Name:</t>
        </is>
      </c>
      <c r="J4" s="38" t="n"/>
      <c r="L4" s="40" t="inlineStr">
        <is>
          <t>Approved by (FCA Engineer):</t>
        </is>
      </c>
      <c r="N4" s="96" t="inlineStr">
        <is>
          <t>DR</t>
        </is>
      </c>
      <c r="O4" s="318" t="inlineStr">
        <is>
          <t>aaaa</t>
        </is>
      </c>
      <c r="P4" s="418" t="n"/>
      <c r="Q4" s="419" t="n"/>
      <c r="W4" s="16" t="n"/>
      <c r="X4" s="16" t="n"/>
    </row>
    <row r="5" ht="18" customHeight="1" s="159">
      <c r="B5" s="63" t="inlineStr">
        <is>
          <t>The following is considered valid for advance ED&amp;D Payment:</t>
        </is>
      </c>
      <c r="C5" s="64" t="n"/>
      <c r="D5" s="28" t="n"/>
      <c r="E5" s="420" t="inlineStr">
        <is>
          <t>xxx</t>
        </is>
      </c>
      <c r="J5" s="38" t="n"/>
      <c r="L5" s="40" t="inlineStr">
        <is>
          <t>Approved by (FCA Eng Mgr):</t>
        </is>
      </c>
      <c r="N5" s="96" t="inlineStr">
        <is>
          <t>SR</t>
        </is>
      </c>
      <c r="O5" s="312" t="inlineStr">
        <is>
          <t>aaaa</t>
        </is>
      </c>
      <c r="P5" s="421" t="n"/>
      <c r="Q5" s="422" t="n"/>
      <c r="W5" s="16" t="n"/>
      <c r="X5" s="16" t="n"/>
    </row>
    <row r="6" ht="18" customHeight="1" s="159">
      <c r="B6" s="70" t="inlineStr">
        <is>
          <t>- Product Engineering</t>
        </is>
      </c>
      <c r="C6" s="66" t="n"/>
      <c r="D6" s="33" t="n"/>
      <c r="E6" s="417" t="inlineStr">
        <is>
          <t>Is the part production sourced?</t>
        </is>
      </c>
      <c r="J6" s="38" t="n"/>
      <c r="L6" s="40" t="inlineStr">
        <is>
          <t>Approved &amp; Funding Verified by (FCA MR):</t>
        </is>
      </c>
      <c r="O6" s="312" t="n"/>
      <c r="P6" s="421" t="n"/>
      <c r="Q6" s="422" t="n"/>
      <c r="W6" s="16" t="n"/>
      <c r="X6" s="16" t="n"/>
    </row>
    <row r="7" ht="18" customHeight="1" s="159">
      <c r="B7" s="70" t="inlineStr">
        <is>
          <t>- CAD Design</t>
        </is>
      </c>
      <c r="C7" s="66" t="n"/>
      <c r="D7" s="33" t="n"/>
      <c r="E7" s="420" t="inlineStr">
        <is>
          <t>Yes</t>
        </is>
      </c>
      <c r="J7" s="38" t="n"/>
      <c r="L7" s="40" t="inlineStr">
        <is>
          <t>ER&amp;D estimated</t>
        </is>
      </c>
      <c r="N7" s="97" t="inlineStr">
        <is>
          <t>Estimated costs</t>
        </is>
      </c>
      <c r="O7" s="312" t="inlineStr">
        <is>
          <t>aaaa</t>
        </is>
      </c>
      <c r="P7" s="421" t="n"/>
      <c r="Q7" s="422" t="n"/>
      <c r="W7" s="16" t="n"/>
      <c r="X7" s="16" t="n"/>
    </row>
    <row r="8" ht="18" customHeight="1" s="159">
      <c r="B8" s="70" t="inlineStr">
        <is>
          <t>- Software Engineering</t>
        </is>
      </c>
      <c r="C8" s="73" t="n"/>
      <c r="D8" s="33" t="n"/>
      <c r="E8" s="417" t="inlineStr">
        <is>
          <t>CN #</t>
        </is>
      </c>
      <c r="J8" s="38" t="n"/>
      <c r="L8" s="40" t="inlineStr">
        <is>
          <t>Jeff Briggs ED&amp;D</t>
        </is>
      </c>
      <c r="N8" s="96" t="inlineStr">
        <is>
          <t>Model planner</t>
        </is>
      </c>
      <c r="O8" s="312" t="inlineStr">
        <is>
          <t>aaaa</t>
        </is>
      </c>
      <c r="P8" s="421" t="n"/>
      <c r="Q8" s="422" t="n"/>
      <c r="W8" s="16" t="n"/>
      <c r="X8" s="16" t="n"/>
    </row>
    <row r="9" ht="18.75" customHeight="1" s="159">
      <c r="B9" s="70" t="inlineStr">
        <is>
          <t>- Design Validation Expenses (Time and Materials)</t>
        </is>
      </c>
      <c r="C9" s="73" t="n"/>
      <c r="D9" s="33" t="n"/>
      <c r="E9" s="420" t="inlineStr">
        <is>
          <t>xxxxxxxxxxxxxxxx</t>
        </is>
      </c>
      <c r="J9" s="38" t="n"/>
      <c r="L9" s="40" t="inlineStr">
        <is>
          <t>Approved by (FCA Buyer):</t>
        </is>
      </c>
      <c r="N9" s="36" t="n"/>
      <c r="O9" s="312" t="n"/>
      <c r="P9" s="421" t="n"/>
      <c r="Q9" s="422" t="n"/>
      <c r="R9" s="16" t="n"/>
      <c r="S9" s="16" t="n"/>
      <c r="U9" s="16" t="n"/>
      <c r="V9" s="16" t="n"/>
      <c r="W9" s="16" t="n"/>
      <c r="X9" s="16" t="n"/>
    </row>
    <row r="10" ht="18" customHeight="1" s="159">
      <c r="B10" s="70" t="inlineStr">
        <is>
          <t>- Product Validation Testing / Reporting</t>
        </is>
      </c>
      <c r="C10" s="73" t="n"/>
      <c r="D10" s="266" t="n"/>
      <c r="E10" s="417" t="inlineStr">
        <is>
          <t>Source Package</t>
        </is>
      </c>
      <c r="J10" s="38" t="n"/>
      <c r="L10" s="40" t="inlineStr">
        <is>
          <t>Approved by (FCA Commodity Mgr):</t>
        </is>
      </c>
      <c r="N10" s="36" t="n"/>
      <c r="O10" s="312" t="n"/>
      <c r="P10" s="421" t="n"/>
      <c r="Q10" s="422" t="n"/>
    </row>
    <row r="11" ht="18.75" customHeight="1" s="159">
      <c r="B11" s="70" t="inlineStr">
        <is>
          <t>- Homologation Requirements</t>
        </is>
      </c>
      <c r="C11" s="73" t="n"/>
      <c r="D11" s="28" t="n"/>
      <c r="E11" s="420" t="inlineStr">
        <is>
          <t>?</t>
        </is>
      </c>
      <c r="J11" s="38" t="n"/>
      <c r="L11" s="40" t="inlineStr">
        <is>
          <t>Supplier Name</t>
        </is>
      </c>
      <c r="N11" s="36" t="n"/>
      <c r="O11" s="312" t="inlineStr">
        <is>
          <t>aaaa</t>
        </is>
      </c>
      <c r="P11" s="421" t="n"/>
      <c r="Q11" s="422" t="n"/>
    </row>
    <row r="12" ht="18.75" customHeight="1" s="159">
      <c r="B12" s="70" t="inlineStr">
        <is>
          <t>- Prototype parts &amp; tooling, developmental / Pilot Parts (paid via separate requisition)</t>
        </is>
      </c>
      <c r="C12" s="267" t="n"/>
      <c r="D12" s="33" t="n"/>
      <c r="E12" s="423" t="inlineStr">
        <is>
          <t>Macro-Description of Work to be Completed:</t>
        </is>
      </c>
      <c r="J12" s="38" t="n"/>
      <c r="L12" s="40" t="inlineStr">
        <is>
          <t>Model Year &amp; Vehicle (ie 2012 WD)</t>
        </is>
      </c>
      <c r="N12" s="36" t="n"/>
      <c r="O12" s="312" t="n"/>
      <c r="P12" s="421" t="n"/>
      <c r="Q12" s="422" t="n"/>
    </row>
    <row r="13" ht="18" customHeight="1" s="159">
      <c r="B13" s="70" t="inlineStr">
        <is>
          <t>- Program Management (ONLY if FULLY dedicated to program)</t>
        </is>
      </c>
      <c r="C13" s="66" t="n"/>
      <c r="D13" s="31" t="n"/>
      <c r="E13" s="424" t="inlineStr">
        <is>
          <t>AAAAAAAAAAAA</t>
        </is>
      </c>
      <c r="J13" s="38" t="n"/>
      <c r="L13" s="40" t="inlineStr">
        <is>
          <t>Submission Date</t>
        </is>
      </c>
      <c r="N13" s="36" t="n"/>
      <c r="O13" s="312" t="n"/>
      <c r="P13" s="421" t="n"/>
      <c r="Q13" s="422" t="n"/>
    </row>
    <row r="14" ht="18" customHeight="1" s="159">
      <c r="B14" s="70" t="inlineStr">
        <is>
          <t>-1st PPAP</t>
        </is>
      </c>
      <c r="C14" s="73" t="n"/>
      <c r="D14" s="33" t="n"/>
      <c r="E14" s="62" t="n"/>
      <c r="J14" s="38" t="n"/>
      <c r="L14" s="40" t="inlineStr">
        <is>
          <t>Annual Volume</t>
        </is>
      </c>
      <c r="N14" s="36" t="n"/>
      <c r="O14" s="335" t="n"/>
      <c r="P14" s="425" t="n"/>
      <c r="Q14" s="426" t="n"/>
    </row>
    <row r="15" ht="18" customHeight="1" s="159">
      <c r="B15" s="165" t="n"/>
      <c r="C15" s="71" t="n"/>
      <c r="D15" s="33" t="n"/>
      <c r="E15" s="62" t="n"/>
      <c r="J15" s="38" t="n"/>
      <c r="L15" s="102" t="inlineStr">
        <is>
          <t>ED&amp;D Engineer to Complete the following:</t>
        </is>
      </c>
      <c r="M15" s="104" t="n"/>
      <c r="N15" s="104" t="n"/>
      <c r="O15" s="104" t="n"/>
      <c r="P15" s="104" t="n"/>
      <c r="Q15" s="105" t="n"/>
    </row>
    <row r="16" ht="18" customHeight="1" s="159">
      <c r="B16" s="63" t="inlineStr">
        <is>
          <t>The following is NOT considered valid for advance ED&amp;D Payment:</t>
        </is>
      </c>
      <c r="C16" s="73" t="n"/>
      <c r="D16" s="33" t="n"/>
      <c r="E16" s="62" t="n"/>
      <c r="J16" s="38" t="n"/>
      <c r="L16" s="40" t="inlineStr">
        <is>
          <t>Reviewed by (ED&amp;D Analyst):</t>
        </is>
      </c>
      <c r="N16" s="36" t="n"/>
      <c r="O16" s="318" t="inlineStr">
        <is>
          <t>aaaaa</t>
        </is>
      </c>
      <c r="P16" s="418" t="n"/>
      <c r="Q16" s="419" t="n"/>
    </row>
    <row r="17" ht="18" customHeight="1" s="159">
      <c r="B17" s="70" t="inlineStr">
        <is>
          <t>- Process Sign-off (PSO) and Production Part Approval Process (PPAP)</t>
        </is>
      </c>
      <c r="C17" s="73" t="n"/>
      <c r="D17" s="33" t="n"/>
      <c r="E17" s="62" t="n"/>
      <c r="J17" s="38" t="n"/>
      <c r="L17" s="40" t="inlineStr">
        <is>
          <t>EPAS Control Number (nafta requisition number)</t>
        </is>
      </c>
      <c r="N17" s="36" t="n"/>
      <c r="O17" s="312" t="inlineStr">
        <is>
          <t>CN</t>
        </is>
      </c>
      <c r="P17" s="421" t="n"/>
      <c r="Q17" s="422" t="n"/>
    </row>
    <row r="18" ht="18.75" customHeight="1" s="159" thickBot="1">
      <c r="B18" s="74" t="inlineStr">
        <is>
          <t>- Corrections to Supplier Design Errors (actions not driven by FCA)</t>
        </is>
      </c>
      <c r="C18" s="268" t="n"/>
      <c r="D18" s="33" t="n"/>
      <c r="E18" s="427" t="n"/>
      <c r="F18" s="2" t="n"/>
      <c r="G18" s="2" t="n"/>
      <c r="H18" s="2" t="n"/>
      <c r="I18" s="2" t="n"/>
      <c r="J18" s="428" t="n"/>
      <c r="L18" s="41" t="inlineStr">
        <is>
          <t>ED&amp;D Tracking Number</t>
        </is>
      </c>
      <c r="M18" s="2" t="n"/>
      <c r="N18" s="269" t="n"/>
      <c r="O18" s="337" t="inlineStr">
        <is>
          <t>xxxx</t>
        </is>
      </c>
      <c r="P18" s="429" t="n"/>
      <c r="Q18" s="430" t="n"/>
    </row>
    <row r="19" ht="18.75" customHeight="1" s="159" thickBot="1">
      <c r="B19" s="266" t="n"/>
      <c r="C19" s="266" t="n"/>
      <c r="D19" s="266" t="n"/>
      <c r="E19" s="266" t="n"/>
      <c r="L19" s="36" t="n"/>
      <c r="N19" s="36" t="n"/>
    </row>
    <row r="20" ht="30" customHeight="1" s="159">
      <c r="B20" s="431" t="inlineStr">
        <is>
          <t>Supplier to Complete (Labor Costs)</t>
        </is>
      </c>
      <c r="C20" s="432" t="inlineStr">
        <is>
          <t>Date role engages</t>
        </is>
      </c>
      <c r="D20" s="432" t="inlineStr">
        <is>
          <t>Date role disengages</t>
        </is>
      </c>
      <c r="E20" s="432" t="inlineStr">
        <is>
          <t>FTE's average</t>
        </is>
      </c>
      <c r="F20" s="432" t="inlineStr">
        <is>
          <t>Physical Location</t>
        </is>
      </c>
      <c r="G20" s="134" t="inlineStr">
        <is>
          <t>CAD</t>
        </is>
      </c>
      <c r="H20" s="135" t="n"/>
      <c r="I20" s="136" t="n"/>
      <c r="J20" s="134" t="inlineStr">
        <is>
          <t xml:space="preserve">Engineering </t>
        </is>
      </c>
      <c r="K20" s="137" t="n"/>
      <c r="L20" s="135" t="n"/>
      <c r="M20" s="136" t="n"/>
      <c r="N20" s="134" t="inlineStr">
        <is>
          <t>Software Developers</t>
        </is>
      </c>
      <c r="O20" s="135" t="n"/>
      <c r="P20" s="135" t="n"/>
      <c r="Q20" s="128" t="n"/>
    </row>
    <row r="21" ht="25.5" customHeight="1" s="159">
      <c r="B21" s="433" t="n"/>
      <c r="C21" s="434" t="n"/>
      <c r="D21" s="434" t="n"/>
      <c r="E21" s="434" t="n"/>
      <c r="F21" s="434" t="n"/>
      <c r="G21" s="216" t="inlineStr">
        <is>
          <t>Time</t>
        </is>
      </c>
      <c r="H21" s="215" t="inlineStr">
        <is>
          <t>Salary fully Fringed</t>
        </is>
      </c>
      <c r="I21" s="129" t="n"/>
      <c r="J21" s="216" t="inlineStr">
        <is>
          <t>Time</t>
        </is>
      </c>
      <c r="K21" s="215" t="n"/>
      <c r="L21" s="217" t="inlineStr">
        <is>
          <t>Salary fully Fringed</t>
        </is>
      </c>
      <c r="M21" s="129" t="n"/>
      <c r="N21" s="216" t="inlineStr">
        <is>
          <t>Time</t>
        </is>
      </c>
      <c r="O21" s="215" t="inlineStr">
        <is>
          <t>Salary fully Fringed</t>
        </is>
      </c>
      <c r="P21" s="130" t="n"/>
      <c r="Q21" s="131" t="inlineStr">
        <is>
          <t>Total</t>
        </is>
      </c>
      <c r="R21" s="325" t="inlineStr">
        <is>
          <t>salary/hourly rate w/o facilities depreciation overheads</t>
        </is>
      </c>
    </row>
    <row r="22" ht="21" customHeight="1" s="159">
      <c r="B22" s="17" t="inlineStr">
        <is>
          <t>List by role/activities</t>
        </is>
      </c>
      <c r="C22" s="20" t="n"/>
      <c r="D22" s="20" t="n"/>
      <c r="E22" s="82" t="n"/>
      <c r="F22" s="86" t="n"/>
      <c r="G22" s="132" t="inlineStr">
        <is>
          <t>[hours]</t>
        </is>
      </c>
      <c r="H22" s="132" t="inlineStr">
        <is>
          <t>[€/hr]</t>
        </is>
      </c>
      <c r="I22" s="133" t="inlineStr">
        <is>
          <t>Total Eng</t>
        </is>
      </c>
      <c r="J22" s="132" t="inlineStr">
        <is>
          <t>[hours]</t>
        </is>
      </c>
      <c r="K22" s="132" t="n"/>
      <c r="L22" s="132" t="inlineStr">
        <is>
          <t>[€/hr]</t>
        </is>
      </c>
      <c r="M22" s="133" t="inlineStr">
        <is>
          <t>Total Tech</t>
        </is>
      </c>
      <c r="N22" s="132" t="inlineStr">
        <is>
          <t>[hours]</t>
        </is>
      </c>
      <c r="O22" s="132" t="inlineStr">
        <is>
          <t>[€/hr]</t>
        </is>
      </c>
      <c r="P22" s="132" t="inlineStr">
        <is>
          <t>Total Tech</t>
        </is>
      </c>
      <c r="Q22" s="131" t="inlineStr">
        <is>
          <t>Cost</t>
        </is>
      </c>
      <c r="R22" s="62" t="n"/>
    </row>
    <row r="23" ht="15" customHeight="1" s="159">
      <c r="B23" s="246" t="inlineStr">
        <is>
          <t>Pre-feasibility</t>
        </is>
      </c>
      <c r="C23" s="248" t="n">
        <v>42384</v>
      </c>
      <c r="D23" s="248" t="n">
        <v>42415</v>
      </c>
      <c r="E23" s="250">
        <f>100/160</f>
        <v/>
      </c>
      <c r="F23" s="251" t="inlineStr">
        <is>
          <t>Torino - IT</t>
        </is>
      </c>
      <c r="G23" s="25" t="n"/>
      <c r="H23" s="543" t="n"/>
      <c r="I23" s="436">
        <f>H23*G23</f>
        <v/>
      </c>
      <c r="J23" s="256" t="n">
        <v>100</v>
      </c>
      <c r="K23" s="27" t="n"/>
      <c r="L23" s="543" t="n">
        <v>42</v>
      </c>
      <c r="M23" s="436">
        <f>L23*J23</f>
        <v/>
      </c>
      <c r="N23" s="25" t="n"/>
      <c r="O23" s="543" t="n"/>
      <c r="P23" s="436">
        <f>O23*N23</f>
        <v/>
      </c>
      <c r="Q23" s="437">
        <f>SUM(I23,M23,P23)</f>
        <v/>
      </c>
    </row>
    <row r="24" ht="15" customHeight="1" s="159">
      <c r="B24" s="247" t="inlineStr">
        <is>
          <t>3D CAD Modelling</t>
        </is>
      </c>
      <c r="C24" s="249" t="n">
        <v>42416</v>
      </c>
      <c r="D24" s="249" t="n">
        <v>42446</v>
      </c>
      <c r="E24" s="252">
        <f>200/160</f>
        <v/>
      </c>
      <c r="F24" s="253" t="inlineStr">
        <is>
          <t>Torino - IT</t>
        </is>
      </c>
      <c r="G24" s="255" t="n">
        <v>200</v>
      </c>
      <c r="H24" s="544" t="n">
        <v>42</v>
      </c>
      <c r="I24" s="439">
        <f>H24*G24</f>
        <v/>
      </c>
      <c r="J24" s="206" t="n"/>
      <c r="K24" s="206" t="n"/>
      <c r="L24" s="544" t="n"/>
      <c r="M24" s="439">
        <f>L24*J24</f>
        <v/>
      </c>
      <c r="N24" s="206" t="n"/>
      <c r="O24" s="544" t="n"/>
      <c r="P24" s="439">
        <f>O24*N24</f>
        <v/>
      </c>
      <c r="Q24" s="440">
        <f>SUM(I24,M24,P24)</f>
        <v/>
      </c>
    </row>
    <row r="25" ht="15" customHeight="1" s="159">
      <c r="B25" s="247" t="inlineStr">
        <is>
          <t>2D CAD Drawings, CAD Annotations, GD&amp;T</t>
        </is>
      </c>
      <c r="C25" s="249" t="n">
        <v>42478</v>
      </c>
      <c r="D25" s="249" t="n">
        <v>42492</v>
      </c>
      <c r="E25" s="254">
        <f>60/80</f>
        <v/>
      </c>
      <c r="F25" s="253" t="inlineStr">
        <is>
          <t>Torino - IT</t>
        </is>
      </c>
      <c r="G25" s="255">
        <f>0.5*0.75*160</f>
        <v/>
      </c>
      <c r="H25" s="544" t="n">
        <v>37</v>
      </c>
      <c r="I25" s="439">
        <f>H25*G25</f>
        <v/>
      </c>
      <c r="J25" s="206" t="n"/>
      <c r="K25" s="206" t="n"/>
      <c r="L25" s="544" t="n"/>
      <c r="M25" s="439">
        <f>L25*J25</f>
        <v/>
      </c>
      <c r="N25" s="206" t="n"/>
      <c r="O25" s="544" t="n"/>
      <c r="P25" s="439">
        <f>O25*N25</f>
        <v/>
      </c>
      <c r="Q25" s="440">
        <f>SUM(I25,M25,P25)</f>
        <v/>
      </c>
    </row>
    <row r="26" ht="15" customHeight="1" s="159">
      <c r="B26" s="247" t="inlineStr">
        <is>
          <t>CAE Virtual Analysis</t>
        </is>
      </c>
      <c r="C26" s="249" t="n">
        <v>42493</v>
      </c>
      <c r="D26" s="249" t="n">
        <v>42525</v>
      </c>
      <c r="E26" s="254">
        <f>80/160</f>
        <v/>
      </c>
      <c r="F26" s="253" t="inlineStr">
        <is>
          <t>Torino - IT</t>
        </is>
      </c>
      <c r="G26" s="206" t="n"/>
      <c r="H26" s="544" t="n"/>
      <c r="I26" s="439">
        <f>H26*G26</f>
        <v/>
      </c>
      <c r="J26" s="255" t="n">
        <v>80</v>
      </c>
      <c r="K26" s="206" t="n"/>
      <c r="L26" s="544" t="n">
        <v>45</v>
      </c>
      <c r="M26" s="439">
        <f>L26*J26</f>
        <v/>
      </c>
      <c r="N26" s="206" t="n"/>
      <c r="O26" s="544" t="n"/>
      <c r="P26" s="439">
        <f>O26*N26</f>
        <v/>
      </c>
      <c r="Q26" s="440">
        <f>SUM(I26,M26,P26)</f>
        <v/>
      </c>
    </row>
    <row r="27" ht="15" customHeight="1" s="159">
      <c r="B27" s="247" t="inlineStr">
        <is>
          <t>Software development (if required)</t>
        </is>
      </c>
      <c r="C27" s="249" t="n"/>
      <c r="D27" s="249" t="n"/>
      <c r="E27" s="254" t="n"/>
      <c r="F27" s="253" t="n"/>
      <c r="G27" s="272" t="n"/>
      <c r="H27" s="544" t="n"/>
      <c r="I27" s="439">
        <f>H27*G27</f>
        <v/>
      </c>
      <c r="J27" s="206" t="n"/>
      <c r="K27" s="206" t="n"/>
      <c r="L27" s="544" t="n"/>
      <c r="M27" s="439">
        <f>L27*J27</f>
        <v/>
      </c>
      <c r="N27" s="206" t="n"/>
      <c r="O27" s="544" t="n"/>
      <c r="P27" s="439">
        <f>O27*N27</f>
        <v/>
      </c>
      <c r="Q27" s="440">
        <f>SUM(I27,M27,P27)</f>
        <v/>
      </c>
    </row>
    <row r="28" ht="15" customHeight="1" s="159">
      <c r="B28" s="247" t="inlineStr">
        <is>
          <t>FMEA Assestment (if required)</t>
        </is>
      </c>
      <c r="C28" s="249" t="n"/>
      <c r="D28" s="249" t="n"/>
      <c r="E28" s="254" t="n"/>
      <c r="F28" s="253" t="n"/>
      <c r="G28" s="206" t="n"/>
      <c r="H28" s="544" t="n"/>
      <c r="I28" s="439">
        <f>H28*G28</f>
        <v/>
      </c>
      <c r="J28" s="206" t="n"/>
      <c r="K28" s="206" t="n"/>
      <c r="L28" s="544" t="n"/>
      <c r="M28" s="439">
        <f>L28*J28</f>
        <v/>
      </c>
      <c r="N28" s="206" t="n"/>
      <c r="O28" s="544" t="n"/>
      <c r="P28" s="439">
        <f>O28*N28</f>
        <v/>
      </c>
      <c r="Q28" s="440">
        <f>SUM(I28,M28,P28)</f>
        <v/>
      </c>
    </row>
    <row r="29" ht="15" customHeight="1" s="159">
      <c r="B29" s="247" t="inlineStr">
        <is>
          <t>Data release in TeamCenter (if required)</t>
        </is>
      </c>
      <c r="C29" s="249" t="n"/>
      <c r="D29" s="249" t="n"/>
      <c r="E29" s="254" t="n"/>
      <c r="F29" s="253" t="n"/>
      <c r="G29" s="206" t="n"/>
      <c r="H29" s="544" t="n"/>
      <c r="I29" s="439">
        <f>H29*G29</f>
        <v/>
      </c>
      <c r="J29" s="206" t="n"/>
      <c r="K29" s="206" t="n"/>
      <c r="L29" s="544" t="n"/>
      <c r="M29" s="439">
        <f>L29*J29</f>
        <v/>
      </c>
      <c r="N29" s="206" t="n"/>
      <c r="O29" s="544" t="n"/>
      <c r="P29" s="439">
        <f>O29*N29</f>
        <v/>
      </c>
      <c r="Q29" s="440">
        <f>SUM(I29,M29,P29)</f>
        <v/>
      </c>
    </row>
    <row r="30" ht="15" customHeight="1" s="159">
      <c r="B30" s="247" t="n"/>
      <c r="C30" s="249" t="n"/>
      <c r="D30" s="249" t="n"/>
      <c r="E30" s="254" t="n"/>
      <c r="F30" s="253" t="n"/>
      <c r="G30" s="206" t="n"/>
      <c r="H30" s="544" t="n"/>
      <c r="I30" s="439">
        <f>H30*G30</f>
        <v/>
      </c>
      <c r="J30" s="206" t="n"/>
      <c r="K30" s="206" t="n"/>
      <c r="L30" s="544" t="n"/>
      <c r="M30" s="439">
        <f>L30*J30</f>
        <v/>
      </c>
      <c r="N30" s="206" t="n"/>
      <c r="O30" s="544" t="n"/>
      <c r="P30" s="439">
        <f>O30*N30</f>
        <v/>
      </c>
      <c r="Q30" s="440">
        <f>SUM(I30,M30,P30)</f>
        <v/>
      </c>
    </row>
    <row r="31" ht="15" customHeight="1" s="159">
      <c r="B31" s="247" t="n"/>
      <c r="C31" s="249" t="n"/>
      <c r="D31" s="249" t="n"/>
      <c r="E31" s="254" t="n"/>
      <c r="F31" s="253" t="n"/>
      <c r="G31" s="206" t="n"/>
      <c r="H31" s="544" t="n"/>
      <c r="I31" s="439">
        <f>H31*G31</f>
        <v/>
      </c>
      <c r="J31" s="206" t="n"/>
      <c r="K31" s="206" t="n"/>
      <c r="L31" s="544" t="n"/>
      <c r="M31" s="439">
        <f>L31*J31</f>
        <v/>
      </c>
      <c r="N31" s="206" t="n"/>
      <c r="O31" s="544" t="n"/>
      <c r="P31" s="439">
        <f>O31*N31</f>
        <v/>
      </c>
      <c r="Q31" s="440">
        <f>SUM(I31,M31,P31)</f>
        <v/>
      </c>
    </row>
    <row r="32" ht="15" customHeight="1" s="159">
      <c r="B32" s="247" t="n"/>
      <c r="C32" s="249" t="n"/>
      <c r="D32" s="249" t="n"/>
      <c r="E32" s="254" t="n"/>
      <c r="F32" s="253" t="n"/>
      <c r="G32" s="206" t="n"/>
      <c r="H32" s="544" t="n"/>
      <c r="I32" s="439">
        <f>H32*G32</f>
        <v/>
      </c>
      <c r="J32" s="206" t="n"/>
      <c r="K32" s="206" t="n"/>
      <c r="L32" s="544" t="n"/>
      <c r="M32" s="439">
        <f>L32*J32</f>
        <v/>
      </c>
      <c r="N32" s="206" t="n"/>
      <c r="O32" s="544" t="n"/>
      <c r="P32" s="439">
        <f>O32*N32</f>
        <v/>
      </c>
      <c r="Q32" s="440">
        <f>SUM(I32,M32,P32)</f>
        <v/>
      </c>
    </row>
    <row r="33" ht="15" customHeight="1" s="159">
      <c r="B33" s="247" t="n"/>
      <c r="C33" s="249" t="n"/>
      <c r="D33" s="249" t="n"/>
      <c r="E33" s="254" t="n"/>
      <c r="F33" s="253" t="n"/>
      <c r="G33" s="206" t="n"/>
      <c r="H33" s="544" t="n"/>
      <c r="I33" s="439">
        <f>H33*G33</f>
        <v/>
      </c>
      <c r="J33" s="206" t="n"/>
      <c r="K33" s="206" t="n"/>
      <c r="L33" s="544" t="n"/>
      <c r="M33" s="439">
        <f>L33*J33</f>
        <v/>
      </c>
      <c r="N33" s="206" t="n"/>
      <c r="O33" s="544" t="n"/>
      <c r="P33" s="439">
        <f>O33*N33</f>
        <v/>
      </c>
      <c r="Q33" s="440">
        <f>SUM(I33,M33,P33)</f>
        <v/>
      </c>
    </row>
    <row r="34" ht="15" customHeight="1" s="159">
      <c r="B34" s="247" t="n"/>
      <c r="C34" s="249" t="n"/>
      <c r="D34" s="249" t="n"/>
      <c r="E34" s="254" t="n"/>
      <c r="F34" s="253" t="n"/>
      <c r="G34" s="206" t="n"/>
      <c r="H34" s="544" t="n"/>
      <c r="I34" s="439">
        <f>H34*G34</f>
        <v/>
      </c>
      <c r="J34" s="206" t="n"/>
      <c r="K34" s="206" t="n"/>
      <c r="L34" s="544" t="n"/>
      <c r="M34" s="439">
        <f>L34*J34</f>
        <v/>
      </c>
      <c r="N34" s="206" t="n"/>
      <c r="O34" s="544" t="n"/>
      <c r="P34" s="439">
        <f>O34*N34</f>
        <v/>
      </c>
      <c r="Q34" s="440">
        <f>SUM(I34,M34,P34)</f>
        <v/>
      </c>
    </row>
    <row r="35" ht="15" customHeight="1" s="159">
      <c r="B35" s="247" t="n"/>
      <c r="C35" s="249" t="n"/>
      <c r="D35" s="249" t="n"/>
      <c r="E35" s="254" t="n"/>
      <c r="F35" s="253" t="n"/>
      <c r="G35" s="206" t="n"/>
      <c r="H35" s="544" t="n"/>
      <c r="I35" s="439">
        <f>H35*G35</f>
        <v/>
      </c>
      <c r="J35" s="206" t="n"/>
      <c r="K35" s="206" t="n"/>
      <c r="L35" s="544" t="n"/>
      <c r="M35" s="439">
        <f>L35*J35</f>
        <v/>
      </c>
      <c r="N35" s="206" t="n"/>
      <c r="O35" s="544" t="n"/>
      <c r="P35" s="439">
        <f>O35*N35</f>
        <v/>
      </c>
      <c r="Q35" s="440">
        <f>SUM(I35,M35,P35)</f>
        <v/>
      </c>
    </row>
    <row r="36" ht="15" customHeight="1" s="159">
      <c r="B36" s="247" t="n"/>
      <c r="C36" s="249" t="n"/>
      <c r="D36" s="249" t="n"/>
      <c r="E36" s="254" t="n"/>
      <c r="F36" s="253" t="n"/>
      <c r="G36" s="206" t="n"/>
      <c r="H36" s="544" t="n"/>
      <c r="I36" s="439">
        <f>H36*G36</f>
        <v/>
      </c>
      <c r="J36" s="206" t="n"/>
      <c r="K36" s="206" t="n"/>
      <c r="L36" s="544" t="n"/>
      <c r="M36" s="439">
        <f>L36*J36</f>
        <v/>
      </c>
      <c r="N36" s="206" t="n"/>
      <c r="O36" s="544" t="n"/>
      <c r="P36" s="439">
        <f>O36*N36</f>
        <v/>
      </c>
      <c r="Q36" s="440">
        <f>SUM(I36,M36,P36)</f>
        <v/>
      </c>
    </row>
    <row r="37" ht="15" customHeight="1" s="159">
      <c r="B37" s="247" t="n"/>
      <c r="C37" s="249" t="n"/>
      <c r="D37" s="249" t="n"/>
      <c r="E37" s="254" t="n"/>
      <c r="F37" s="253" t="n"/>
      <c r="G37" s="206" t="n"/>
      <c r="H37" s="544" t="n"/>
      <c r="I37" s="439">
        <f>H37*G37</f>
        <v/>
      </c>
      <c r="J37" s="206" t="n"/>
      <c r="K37" s="206" t="n"/>
      <c r="L37" s="544" t="n"/>
      <c r="M37" s="439">
        <f>L37*J37</f>
        <v/>
      </c>
      <c r="N37" s="206" t="n"/>
      <c r="O37" s="544" t="n"/>
      <c r="P37" s="439">
        <f>O37*N37</f>
        <v/>
      </c>
      <c r="Q37" s="440">
        <f>SUM(I37,M37,P37)</f>
        <v/>
      </c>
    </row>
    <row r="38" ht="15" customHeight="1" s="159" thickBot="1">
      <c r="B38" s="12" t="inlineStr">
        <is>
          <t>Total</t>
        </is>
      </c>
      <c r="C38" s="211" t="n"/>
      <c r="D38" s="211" t="n"/>
      <c r="E38" s="85" t="n"/>
      <c r="F38" s="89" t="n"/>
      <c r="G38" s="273">
        <f>SUM(G23:G37)</f>
        <v/>
      </c>
      <c r="H38" s="441" t="n"/>
      <c r="I38" s="545">
        <f>SUM(I23:I37)</f>
        <v/>
      </c>
      <c r="J38" s="273">
        <f>SUM(J23:J37)</f>
        <v/>
      </c>
      <c r="K38" s="273" t="n"/>
      <c r="L38" s="441" t="n"/>
      <c r="M38" s="545">
        <f>SUM(M23:M37)</f>
        <v/>
      </c>
      <c r="N38" s="273">
        <f>SUM(N23:N37)</f>
        <v/>
      </c>
      <c r="O38" s="441" t="n"/>
      <c r="P38" s="545">
        <f>SUM(P23:P37)</f>
        <v/>
      </c>
      <c r="Q38" s="546">
        <f>SUM(Q23:Q37)</f>
        <v/>
      </c>
    </row>
    <row r="39" ht="56.25" customHeight="1" s="159" thickBot="1">
      <c r="B39" s="13" t="n"/>
      <c r="C39" s="18" t="n"/>
      <c r="D39" s="18" t="n"/>
      <c r="E39" s="18" t="n"/>
      <c r="F39" s="276" t="n"/>
      <c r="G39" s="5" t="n"/>
      <c r="H39" s="547" t="n"/>
      <c r="I39" s="276" t="n"/>
      <c r="J39" s="5" t="n"/>
      <c r="K39" s="5" t="n"/>
      <c r="L39" s="547" t="n"/>
      <c r="M39" s="276" t="n"/>
      <c r="N39" s="278" t="n"/>
      <c r="O39" s="547" t="n"/>
      <c r="S39" s="548" t="n"/>
    </row>
    <row r="40" ht="15" customHeight="1" s="159">
      <c r="B40" s="114" t="inlineStr">
        <is>
          <t>Supplier to Complete (Testing related Costs)</t>
        </is>
      </c>
      <c r="C40" s="115" t="inlineStr">
        <is>
          <t>Yes</t>
        </is>
      </c>
      <c r="D40" s="115" t="inlineStr">
        <is>
          <t>No</t>
        </is>
      </c>
      <c r="E40" s="116" t="n"/>
      <c r="F40" s="116" t="n"/>
      <c r="G40" s="116" t="n"/>
      <c r="H40" s="117" t="n"/>
      <c r="I40" s="35" t="n"/>
      <c r="J40" s="109" t="inlineStr">
        <is>
          <t>Supplier to Complete (Design Mock Up Costs)</t>
        </is>
      </c>
      <c r="K40" s="110" t="n"/>
      <c r="L40" s="110" t="n"/>
      <c r="M40" s="110" t="n"/>
      <c r="N40" s="110" t="n"/>
      <c r="O40" s="110" t="n"/>
      <c r="P40" s="110" t="n"/>
      <c r="Q40" s="108" t="n"/>
    </row>
    <row r="41" ht="15" customHeight="1" s="159">
      <c r="B41" s="446" t="n"/>
      <c r="C41" s="447" t="n"/>
      <c r="D41" s="447" t="n"/>
      <c r="E41" s="119" t="inlineStr">
        <is>
          <t>type of</t>
        </is>
      </c>
      <c r="F41" s="119" t="inlineStr">
        <is>
          <t xml:space="preserve"># of </t>
        </is>
      </c>
      <c r="G41" s="119" t="inlineStr">
        <is>
          <t>Cost</t>
        </is>
      </c>
      <c r="H41" s="120" t="n"/>
      <c r="I41" s="280" t="n"/>
      <c r="J41" s="45" t="n"/>
      <c r="K41" s="164" t="inlineStr">
        <is>
          <t xml:space="preserve"> Properties/Parts required to complete design (i.e. Stereolitography support parts)</t>
        </is>
      </c>
      <c r="L41" s="125" t="n"/>
      <c r="M41" s="125" t="n"/>
      <c r="N41" s="126" t="n"/>
      <c r="O41" s="126" t="n"/>
      <c r="P41" s="126" t="n"/>
      <c r="Q41" s="46" t="n"/>
      <c r="S41" s="548" t="n"/>
    </row>
    <row r="42" ht="23.25" customHeight="1" s="159">
      <c r="B42" s="448" t="n"/>
      <c r="C42" s="434" t="n"/>
      <c r="D42" s="434" t="n"/>
      <c r="E42" s="121" t="inlineStr">
        <is>
          <t>test</t>
        </is>
      </c>
      <c r="F42" s="121" t="inlineStr">
        <is>
          <t>Tests</t>
        </is>
      </c>
      <c r="G42" s="121" t="inlineStr">
        <is>
          <t>per Test</t>
        </is>
      </c>
      <c r="H42" s="122" t="inlineStr">
        <is>
          <t>Cost</t>
        </is>
      </c>
      <c r="J42" s="163" t="inlineStr">
        <is>
          <t>Design Validation Parts</t>
        </is>
      </c>
      <c r="K42" s="14" t="n"/>
      <c r="L42" s="14" t="n"/>
      <c r="M42" s="127" t="inlineStr">
        <is>
          <t>Purpose</t>
        </is>
      </c>
      <c r="N42" s="44" t="n"/>
      <c r="O42" s="95" t="inlineStr">
        <is>
          <t>[QTY]</t>
        </is>
      </c>
      <c r="P42" s="95" t="inlineStr">
        <is>
          <t>[€/pc]</t>
        </is>
      </c>
      <c r="Q42" s="11" t="inlineStr">
        <is>
          <t>Cost</t>
        </is>
      </c>
    </row>
    <row r="43" ht="15" customHeight="1" s="159">
      <c r="B43" s="549" t="inlineStr">
        <is>
          <t>Combined vibration and heat shock - High Temperature</t>
        </is>
      </c>
      <c r="C43" s="450" t="n"/>
      <c r="D43" s="451" t="n"/>
      <c r="E43" s="281" t="inlineStr">
        <is>
          <t>Physical</t>
        </is>
      </c>
      <c r="F43" s="220" t="n">
        <v>3</v>
      </c>
      <c r="G43" s="550" t="n">
        <v>11000</v>
      </c>
      <c r="H43" s="453">
        <f>G43*F43</f>
        <v/>
      </c>
      <c r="J43" s="454" t="inlineStr">
        <is>
          <t>Converters - C Level</t>
        </is>
      </c>
      <c r="K43" s="450" t="n"/>
      <c r="L43" s="451" t="n"/>
      <c r="M43" s="455" t="inlineStr">
        <is>
          <t>Physical design validation</t>
        </is>
      </c>
      <c r="N43" s="456" t="n"/>
      <c r="O43" s="220" t="n">
        <v>4</v>
      </c>
      <c r="P43" s="457" t="n">
        <v>300</v>
      </c>
      <c r="Q43" s="458">
        <f>P43*O43</f>
        <v/>
      </c>
    </row>
    <row r="44" ht="15" customHeight="1" s="159">
      <c r="B44" s="551" t="inlineStr">
        <is>
          <t>Combined vibration and heat shock - Low Temperature</t>
        </is>
      </c>
      <c r="C44" s="460" t="n"/>
      <c r="D44" s="461" t="n"/>
      <c r="E44" s="283" t="inlineStr">
        <is>
          <t>Physical</t>
        </is>
      </c>
      <c r="F44" s="221" t="n">
        <v>4</v>
      </c>
      <c r="G44" s="552" t="n">
        <v>3500</v>
      </c>
      <c r="H44" s="463">
        <f>G44*F44</f>
        <v/>
      </c>
      <c r="J44" s="464" t="n"/>
      <c r="K44" s="421" t="n"/>
      <c r="L44" s="465" t="n"/>
      <c r="M44" s="553" t="n"/>
      <c r="N44" s="467" t="n"/>
      <c r="O44" s="468" t="n"/>
      <c r="P44" s="554" t="n"/>
      <c r="Q44" s="470">
        <f>P44*O44</f>
        <v/>
      </c>
    </row>
    <row r="45" ht="15" customHeight="1" s="159">
      <c r="B45" s="471" t="inlineStr">
        <is>
          <t>Design validation testing subtotals</t>
        </is>
      </c>
      <c r="C45" s="418" t="n"/>
      <c r="D45" s="472" t="n"/>
      <c r="E45" s="138" t="n"/>
      <c r="F45" s="473" t="n"/>
      <c r="G45" s="474" t="n"/>
      <c r="H45" s="475" t="n">
        <v>47000</v>
      </c>
      <c r="J45" s="163" t="inlineStr">
        <is>
          <t>Process Validation Parts</t>
        </is>
      </c>
      <c r="K45" s="14" t="n"/>
      <c r="L45" s="14" t="n"/>
      <c r="M45" s="476" t="inlineStr">
        <is>
          <t>Purpose</t>
        </is>
      </c>
      <c r="N45" s="477" t="n"/>
      <c r="O45" s="478" t="inlineStr">
        <is>
          <t>[QTY]</t>
        </is>
      </c>
      <c r="P45" s="479" t="inlineStr">
        <is>
          <t>[€/pc]</t>
        </is>
      </c>
      <c r="Q45" s="480" t="inlineStr">
        <is>
          <t>Cost</t>
        </is>
      </c>
    </row>
    <row r="46" ht="15" customHeight="1" s="159">
      <c r="B46" s="555" t="n"/>
      <c r="C46" s="421" t="n"/>
      <c r="D46" s="465" t="n"/>
      <c r="E46" s="287" t="n"/>
      <c r="F46" s="468" t="n"/>
      <c r="G46" s="556" t="n"/>
      <c r="H46" s="483">
        <f>G46*F46</f>
        <v/>
      </c>
      <c r="J46" s="355" t="inlineStr">
        <is>
          <t>Converters - OTOP</t>
        </is>
      </c>
      <c r="K46" s="356" t="n"/>
      <c r="L46" s="357" t="n"/>
      <c r="M46" s="455" t="inlineStr">
        <is>
          <t>Physical process validation</t>
        </is>
      </c>
      <c r="N46" s="456" t="n"/>
      <c r="O46" s="220" t="n">
        <v>4</v>
      </c>
      <c r="P46" s="457" t="n">
        <v>5</v>
      </c>
      <c r="Q46" s="458">
        <f>P46*O46</f>
        <v/>
      </c>
    </row>
    <row r="47" ht="15" customHeight="1" s="159">
      <c r="B47" s="551" t="n"/>
      <c r="C47" s="460" t="n"/>
      <c r="D47" s="461" t="n"/>
      <c r="E47" s="283" t="n"/>
      <c r="F47" s="484" t="n"/>
      <c r="G47" s="552" t="n"/>
      <c r="H47" s="463">
        <f>G47*F47</f>
        <v/>
      </c>
      <c r="J47" s="361" t="n"/>
      <c r="K47" s="412" t="n"/>
      <c r="L47" s="413" t="n"/>
      <c r="M47" s="553" t="n"/>
      <c r="N47" s="467" t="n"/>
      <c r="O47" s="468" t="n"/>
      <c r="P47" s="554" t="n"/>
      <c r="Q47" s="470">
        <f>P47*O47</f>
        <v/>
      </c>
    </row>
    <row r="48" ht="15" customHeight="1" s="159">
      <c r="B48" s="471" t="inlineStr">
        <is>
          <t>Self-Certification testing subtotals</t>
        </is>
      </c>
      <c r="C48" s="418" t="n"/>
      <c r="D48" s="472" t="n"/>
      <c r="E48" s="138" t="n"/>
      <c r="F48" s="473" t="n"/>
      <c r="G48" s="474" t="n"/>
      <c r="H48" s="475" t="inlineStr">
        <is>
          <t>Cost</t>
        </is>
      </c>
      <c r="J48" s="361" t="n"/>
      <c r="K48" s="412" t="n"/>
      <c r="L48" s="413" t="n"/>
      <c r="M48" s="485" t="n"/>
      <c r="N48" s="486" t="n"/>
      <c r="O48" s="484" t="n"/>
      <c r="P48" s="557" t="n"/>
      <c r="Q48" s="458">
        <f>P48*O48</f>
        <v/>
      </c>
    </row>
    <row r="49" ht="15" customHeight="1" s="159" thickBot="1">
      <c r="B49" s="488" t="n"/>
      <c r="C49" s="421" t="n"/>
      <c r="D49" s="465" t="n"/>
      <c r="E49" s="208" t="n"/>
      <c r="F49" s="468" t="n"/>
      <c r="G49" s="556" t="n"/>
      <c r="H49" s="483">
        <f>G49*F49</f>
        <v/>
      </c>
      <c r="J49" s="209" t="inlineStr">
        <is>
          <t>Total</t>
        </is>
      </c>
      <c r="K49" s="210" t="n"/>
      <c r="L49" s="210" t="n"/>
      <c r="M49" s="489" t="n"/>
      <c r="N49" s="490" t="n"/>
      <c r="O49" s="490" t="n"/>
      <c r="P49" s="491" t="n"/>
      <c r="Q49" s="558">
        <f>SUM(Q40:Q48)</f>
        <v/>
      </c>
    </row>
    <row r="50" ht="15" customHeight="1" s="159">
      <c r="B50" s="488" t="n"/>
      <c r="C50" s="421" t="n"/>
      <c r="D50" s="465" t="n"/>
      <c r="E50" s="208" t="n"/>
      <c r="F50" s="468" t="n"/>
      <c r="G50" s="556" t="n"/>
      <c r="H50" s="483">
        <f>G50*F50</f>
        <v/>
      </c>
      <c r="J50" s="18" t="n"/>
      <c r="K50" s="18" t="n"/>
      <c r="L50" s="18" t="n"/>
      <c r="M50" s="18" t="n"/>
      <c r="Q50" s="548" t="n"/>
    </row>
    <row r="51" ht="15" customHeight="1" s="159" thickBot="1">
      <c r="B51" s="488" t="n"/>
      <c r="C51" s="421" t="n"/>
      <c r="D51" s="465" t="n"/>
      <c r="E51" s="208" t="n"/>
      <c r="F51" s="468" t="n"/>
      <c r="G51" s="556" t="n"/>
      <c r="H51" s="483">
        <f>G51*F51</f>
        <v/>
      </c>
      <c r="J51" s="368" t="n"/>
      <c r="M51" s="294" t="n"/>
      <c r="N51" s="153" t="n"/>
      <c r="O51" s="154" t="n"/>
      <c r="P51" s="559" t="n"/>
      <c r="Q51" s="156" t="n"/>
    </row>
    <row r="52" ht="15" customHeight="1" s="159">
      <c r="B52" s="551" t="n"/>
      <c r="C52" s="460" t="n"/>
      <c r="D52" s="461" t="n"/>
      <c r="E52" s="283" t="n"/>
      <c r="F52" s="484" t="n"/>
      <c r="G52" s="552" t="n"/>
      <c r="H52" s="463">
        <f>G52*F52</f>
        <v/>
      </c>
      <c r="J52" s="212" t="inlineStr">
        <is>
          <t xml:space="preserve">FCA to identify quantities, Supplier to Complete </t>
        </is>
      </c>
      <c r="K52" s="213" t="n"/>
      <c r="L52" s="213" t="n"/>
      <c r="M52" s="213" t="n"/>
      <c r="N52" s="213" t="n"/>
      <c r="O52" s="213" t="n"/>
      <c r="P52" s="213" t="n"/>
      <c r="Q52" s="214" t="n"/>
    </row>
    <row r="53" ht="15" customHeight="1" s="159">
      <c r="B53" s="471" t="inlineStr">
        <is>
          <t>Homologation testing subtotals (where applicable)</t>
        </is>
      </c>
      <c r="C53" s="418" t="n"/>
      <c r="D53" s="472" t="n"/>
      <c r="E53" s="138" t="n"/>
      <c r="F53" s="473" t="n"/>
      <c r="G53" s="474" t="n"/>
      <c r="H53" s="475">
        <f>G53*F53</f>
        <v/>
      </c>
      <c r="J53" s="45" t="n"/>
      <c r="K53" s="125" t="inlineStr">
        <is>
          <t xml:space="preserve"> Properties/Parts required to complete FCA design (previously ordered by SK-F and other)</t>
        </is>
      </c>
      <c r="L53" s="157" t="n"/>
      <c r="M53" s="125" t="n"/>
      <c r="N53" s="126" t="n"/>
      <c r="O53" s="126" t="n"/>
      <c r="P53" s="126" t="n"/>
      <c r="Q53" s="46" t="n"/>
    </row>
    <row r="54" ht="15" customHeight="1" s="159" thickBot="1">
      <c r="B54" s="494" t="inlineStr">
        <is>
          <t>Total</t>
        </is>
      </c>
      <c r="C54" s="490" t="n"/>
      <c r="D54" s="491" t="n"/>
      <c r="E54" s="123" t="n"/>
      <c r="F54" s="495" t="n"/>
      <c r="G54" s="496" t="n"/>
      <c r="H54" s="497">
        <f>SUM(H45:H53)</f>
        <v/>
      </c>
      <c r="J54" s="158" t="n"/>
      <c r="K54" s="14" t="n"/>
      <c r="L54" s="14" t="n"/>
      <c r="M54" s="127" t="n"/>
      <c r="N54" s="44" t="n"/>
      <c r="O54" s="95" t="n"/>
      <c r="P54" s="95" t="n"/>
      <c r="Q54" s="11" t="n"/>
    </row>
    <row r="55" ht="15" customHeight="1" s="159">
      <c r="G55" s="498" t="n"/>
      <c r="H55" s="498" t="n"/>
      <c r="J55" s="222" t="inlineStr">
        <is>
          <t>Design Validation Parts</t>
        </is>
      </c>
      <c r="K55" s="499" t="n"/>
      <c r="L55" s="499" t="n"/>
      <c r="M55" s="476" t="inlineStr">
        <is>
          <t>Purpose</t>
        </is>
      </c>
      <c r="N55" s="477" t="n"/>
      <c r="O55" s="478" t="inlineStr">
        <is>
          <t>[QTY]</t>
        </is>
      </c>
      <c r="P55" s="478" t="inlineStr">
        <is>
          <t>[€/pc]</t>
        </is>
      </c>
      <c r="Q55" s="500" t="inlineStr">
        <is>
          <t>Cost</t>
        </is>
      </c>
    </row>
    <row r="56" ht="15" customHeight="1" s="159">
      <c r="B56" s="160" t="n"/>
      <c r="C56" s="161" t="n"/>
      <c r="D56" s="161" t="n"/>
      <c r="E56" s="161" t="n"/>
      <c r="F56" s="501" t="n"/>
      <c r="I56" s="162" t="n"/>
      <c r="J56" s="454" t="inlineStr">
        <is>
          <t>Converters - C Level</t>
        </is>
      </c>
      <c r="K56" s="450" t="n"/>
      <c r="L56" s="451" t="n"/>
      <c r="M56" s="455" t="inlineStr">
        <is>
          <t>Physical design validation</t>
        </is>
      </c>
      <c r="N56" s="456" t="n"/>
      <c r="O56" s="220" t="n">
        <v>4</v>
      </c>
      <c r="P56" s="457" t="n">
        <v>300</v>
      </c>
      <c r="Q56" s="458">
        <f>P56*O56</f>
        <v/>
      </c>
    </row>
    <row r="57" ht="15" customHeight="1" s="159">
      <c r="J57" s="361" t="n"/>
      <c r="K57" s="560" t="n"/>
      <c r="L57" s="561" t="n"/>
      <c r="M57" s="553" t="n"/>
      <c r="N57" s="467" t="n"/>
      <c r="O57" s="468" t="n"/>
      <c r="P57" s="554" t="n"/>
      <c r="Q57" s="470" t="n"/>
    </row>
    <row r="58" ht="15" customHeight="1" s="159">
      <c r="J58" s="361" t="n"/>
      <c r="K58" s="560" t="n"/>
      <c r="L58" s="561" t="n"/>
      <c r="M58" s="485" t="n"/>
      <c r="N58" s="486" t="n"/>
      <c r="O58" s="484" t="n"/>
      <c r="P58" s="557" t="n"/>
      <c r="Q58" s="463" t="n"/>
    </row>
    <row r="59" ht="15" customHeight="1" s="159">
      <c r="J59" s="222" t="inlineStr">
        <is>
          <t>Process Validation Parts</t>
        </is>
      </c>
      <c r="K59" s="499" t="n"/>
      <c r="L59" s="499" t="n"/>
      <c r="M59" s="476" t="inlineStr">
        <is>
          <t>Purpose</t>
        </is>
      </c>
      <c r="N59" s="477" t="n"/>
      <c r="O59" s="478" t="inlineStr">
        <is>
          <t>[QTY]</t>
        </is>
      </c>
      <c r="P59" s="479" t="inlineStr">
        <is>
          <t>[€/pc]</t>
        </is>
      </c>
      <c r="Q59" s="480" t="inlineStr">
        <is>
          <t>Cost</t>
        </is>
      </c>
    </row>
    <row r="60" ht="15" customHeight="1" s="159">
      <c r="J60" s="355" t="inlineStr">
        <is>
          <t>Converters - OTOP</t>
        </is>
      </c>
      <c r="K60" s="502" t="n"/>
      <c r="L60" s="503" t="n"/>
      <c r="M60" s="455" t="inlineStr">
        <is>
          <t>Physical process validation</t>
        </is>
      </c>
      <c r="N60" s="456" t="n"/>
      <c r="O60" s="220" t="n">
        <v>4</v>
      </c>
      <c r="P60" s="457" t="n">
        <v>5</v>
      </c>
      <c r="Q60" s="458">
        <f>P60*O60</f>
        <v/>
      </c>
    </row>
    <row r="61" ht="15" customHeight="1" s="159">
      <c r="J61" s="361" t="n"/>
      <c r="K61" s="560" t="n"/>
      <c r="L61" s="561" t="n"/>
      <c r="M61" s="553" t="n"/>
      <c r="N61" s="467" t="n"/>
      <c r="O61" s="468" t="n"/>
      <c r="P61" s="554" t="n"/>
      <c r="Q61" s="470">
        <f>P61*O61</f>
        <v/>
      </c>
    </row>
    <row r="62" ht="15" customHeight="1" s="159">
      <c r="J62" s="361" t="n"/>
      <c r="K62" s="560" t="n"/>
      <c r="L62" s="561" t="n"/>
      <c r="M62" s="485" t="n"/>
      <c r="N62" s="486" t="n"/>
      <c r="O62" s="484" t="n"/>
      <c r="P62" s="557" t="n"/>
      <c r="Q62" s="458">
        <f>P62*O62</f>
        <v/>
      </c>
    </row>
    <row r="63" ht="15" customHeight="1" s="159" thickBot="1">
      <c r="J63" s="209" t="inlineStr">
        <is>
          <t>Total</t>
        </is>
      </c>
      <c r="K63" s="506" t="n"/>
      <c r="L63" s="506" t="n"/>
      <c r="M63" s="506" t="n"/>
      <c r="N63" s="507" t="n"/>
      <c r="O63" s="507" t="n"/>
      <c r="P63" s="508" t="n"/>
      <c r="Q63" s="562">
        <f>SUM(Q52:Q62)</f>
        <v/>
      </c>
    </row>
    <row r="64" ht="15" customHeight="1" s="159">
      <c r="J64" s="18" t="n"/>
      <c r="K64" s="18" t="n"/>
      <c r="L64" s="18" t="n"/>
      <c r="M64" s="18" t="n"/>
    </row>
    <row r="65" ht="15" customHeight="1" s="159" thickBot="1">
      <c r="J65" s="18" t="n"/>
      <c r="K65" s="18" t="n"/>
      <c r="L65" s="18" t="n"/>
      <c r="M65" s="18" t="n"/>
    </row>
    <row r="66" ht="15" customHeight="1" s="159" thickBot="1">
      <c r="B66" s="112" t="inlineStr">
        <is>
          <t>Grand Total</t>
        </is>
      </c>
      <c r="C66" s="113" t="n"/>
      <c r="D66" s="113" t="n"/>
      <c r="E66" s="113" t="n"/>
      <c r="F66" s="510">
        <f>$Q$38+$Q$63+$H$54+Q63+Q49</f>
        <v/>
      </c>
      <c r="G66" s="511" t="n"/>
      <c r="H66" s="512" t="n"/>
      <c r="J66" s="18" t="n"/>
      <c r="K66" s="18" t="n"/>
      <c r="L66" s="18" t="n"/>
      <c r="M66" s="18" t="n"/>
    </row>
    <row r="67" ht="15" customHeight="1" s="159">
      <c r="J67" s="18" t="n"/>
      <c r="K67" s="18" t="n"/>
      <c r="L67" s="18" t="n"/>
      <c r="M67" s="18" t="n"/>
    </row>
    <row r="68" ht="15" customHeight="1" s="159" thickBot="1"/>
    <row r="69" ht="15" customHeight="1" s="159">
      <c r="B69" s="109" t="inlineStr">
        <is>
          <t>Supplier to Complete</t>
        </is>
      </c>
      <c r="C69" s="110" t="n"/>
      <c r="D69" s="110" t="n"/>
      <c r="E69" s="111" t="n"/>
      <c r="F69" s="111" t="n"/>
      <c r="G69" s="111" t="n"/>
      <c r="H69" s="111" t="n"/>
      <c r="I69" s="111" t="n"/>
      <c r="J69" s="111" t="n"/>
      <c r="K69" s="377" t="n"/>
      <c r="L69" s="513" t="n"/>
      <c r="N69" s="514" t="inlineStr">
        <is>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is>
      </c>
      <c r="O69" s="515" t="n"/>
      <c r="P69" s="516" t="n"/>
    </row>
    <row r="70" ht="15" customHeight="1" s="159">
      <c r="B70" s="517" t="inlineStr">
        <is>
          <t>Team Roster</t>
        </is>
      </c>
      <c r="C70" s="518" t="n"/>
      <c r="D70" s="518" t="n"/>
      <c r="E70" s="518" t="n"/>
      <c r="F70" s="518" t="n"/>
      <c r="G70" s="518" t="n"/>
      <c r="H70" s="519" t="n"/>
      <c r="I70" s="118" t="inlineStr">
        <is>
          <t>Role</t>
        </is>
      </c>
      <c r="J70" s="124" t="inlineStr">
        <is>
          <t>Hours</t>
        </is>
      </c>
      <c r="K70" s="520" t="inlineStr">
        <is>
          <t>Years Experience</t>
        </is>
      </c>
      <c r="L70" s="521" t="n"/>
      <c r="N70" s="522" t="n"/>
      <c r="P70" s="523" t="n"/>
    </row>
    <row r="71" ht="15" customHeight="1" s="159">
      <c r="B71" s="524" t="inlineStr">
        <is>
          <t>AAAAAAAAAA</t>
        </is>
      </c>
      <c r="C71" s="450" t="n"/>
      <c r="D71" s="450" t="n"/>
      <c r="E71" s="450" t="n"/>
      <c r="F71" s="450" t="n"/>
      <c r="G71" s="450" t="n"/>
      <c r="H71" s="451" t="n"/>
      <c r="I71" s="299" t="inlineStr">
        <is>
          <t>Designer</t>
        </is>
      </c>
      <c r="J71" s="47" t="n"/>
      <c r="K71" s="525" t="n">
        <v>17</v>
      </c>
      <c r="L71" s="526" t="n"/>
      <c r="N71" s="522" t="n"/>
      <c r="P71" s="523" t="n"/>
    </row>
    <row r="72" ht="15" customHeight="1" s="159">
      <c r="B72" s="192" t="inlineStr">
        <is>
          <t>CCCCCCCCCCCCCC</t>
        </is>
      </c>
      <c r="C72" s="405" t="n"/>
      <c r="D72" s="405" t="n"/>
      <c r="E72" s="405" t="n"/>
      <c r="F72" s="405" t="n"/>
      <c r="G72" s="405" t="n"/>
      <c r="H72" s="406" t="n"/>
      <c r="I72" s="193" t="inlineStr">
        <is>
          <t>PC</t>
        </is>
      </c>
      <c r="J72" s="87" t="n"/>
      <c r="K72" s="527" t="n">
        <v>12</v>
      </c>
      <c r="L72" s="422" t="n"/>
      <c r="N72" s="522" t="n"/>
      <c r="P72" s="523" t="n"/>
    </row>
    <row r="73" ht="15" customHeight="1" s="159">
      <c r="B73" s="192" t="inlineStr">
        <is>
          <t>BBBBBBBBBBBB</t>
        </is>
      </c>
      <c r="C73" s="405" t="n"/>
      <c r="D73" s="405" t="n"/>
      <c r="E73" s="405" t="n"/>
      <c r="F73" s="405" t="n"/>
      <c r="G73" s="405" t="n"/>
      <c r="H73" s="406" t="n"/>
      <c r="I73" s="193" t="inlineStr">
        <is>
          <t>Product Expert</t>
        </is>
      </c>
      <c r="J73" s="87" t="n"/>
      <c r="K73" s="527" t="n">
        <v>10</v>
      </c>
      <c r="L73" s="422" t="n"/>
      <c r="N73" s="522" t="n"/>
      <c r="P73" s="523" t="n"/>
    </row>
    <row r="74" ht="15" customHeight="1" s="159">
      <c r="B74" s="192" t="n"/>
      <c r="C74" s="405" t="n"/>
      <c r="D74" s="405" t="n"/>
      <c r="E74" s="405" t="n"/>
      <c r="F74" s="405" t="n"/>
      <c r="G74" s="405" t="n"/>
      <c r="H74" s="406" t="n"/>
      <c r="I74" s="193" t="n"/>
      <c r="J74" s="87" t="n"/>
      <c r="K74" s="527" t="n"/>
      <c r="L74" s="422" t="n"/>
      <c r="N74" s="522" t="n"/>
      <c r="P74" s="523" t="n"/>
    </row>
    <row r="75" ht="15" customHeight="1" s="159">
      <c r="B75" s="528" t="n"/>
      <c r="C75" s="421" t="n"/>
      <c r="D75" s="421" t="n"/>
      <c r="E75" s="421" t="n"/>
      <c r="F75" s="421" t="n"/>
      <c r="G75" s="421" t="n"/>
      <c r="H75" s="465" t="n"/>
      <c r="I75" s="87" t="n"/>
      <c r="J75" s="87" t="n"/>
      <c r="K75" s="527" t="n"/>
      <c r="L75" s="422" t="n"/>
      <c r="N75" s="522" t="n"/>
      <c r="P75" s="523" t="n"/>
    </row>
    <row r="76" ht="15" customHeight="1" s="159">
      <c r="B76" s="528" t="n"/>
      <c r="C76" s="421" t="n"/>
      <c r="D76" s="421" t="n"/>
      <c r="E76" s="421" t="n"/>
      <c r="F76" s="421" t="n"/>
      <c r="G76" s="421" t="n"/>
      <c r="H76" s="465" t="n"/>
      <c r="I76" s="87" t="n"/>
      <c r="J76" s="87" t="n"/>
      <c r="K76" s="527" t="n"/>
      <c r="L76" s="422" t="n"/>
      <c r="N76" s="522" t="n"/>
      <c r="P76" s="523" t="n"/>
    </row>
    <row r="77" ht="15" customHeight="1" s="159">
      <c r="B77" s="404" t="n"/>
      <c r="C77" s="405" t="n"/>
      <c r="D77" s="405" t="n"/>
      <c r="E77" s="405" t="n"/>
      <c r="F77" s="405" t="n"/>
      <c r="G77" s="405" t="n"/>
      <c r="H77" s="406" t="n"/>
      <c r="I77" s="87" t="n"/>
      <c r="J77" s="87" t="n"/>
      <c r="K77" s="527" t="n"/>
      <c r="L77" s="422" t="n"/>
      <c r="N77" s="529" t="n"/>
      <c r="O77" s="44" t="n"/>
      <c r="P77" s="530" t="n"/>
    </row>
    <row r="78" ht="15" customHeight="1" s="159">
      <c r="B78" s="404" t="n"/>
      <c r="C78" s="405" t="n"/>
      <c r="D78" s="405" t="n"/>
      <c r="E78" s="405" t="n"/>
      <c r="F78" s="405" t="n"/>
      <c r="G78" s="405" t="n"/>
      <c r="H78" s="406" t="n"/>
      <c r="I78" s="87" t="n"/>
      <c r="J78" s="87" t="n"/>
      <c r="K78" s="527" t="n"/>
      <c r="L78" s="422" t="n"/>
    </row>
    <row r="79" ht="15" customHeight="1" s="159" thickBot="1">
      <c r="B79" s="531" t="n"/>
      <c r="C79" s="429" t="n"/>
      <c r="D79" s="429" t="n"/>
      <c r="E79" s="429" t="n"/>
      <c r="F79" s="429" t="n"/>
      <c r="G79" s="429" t="n"/>
      <c r="H79" s="532" t="n"/>
      <c r="I79" s="76" t="n"/>
      <c r="J79" s="76" t="n"/>
      <c r="K79" s="533" t="n"/>
      <c r="L79" s="430" t="n"/>
    </row>
    <row r="80" ht="15" customHeight="1" s="159"/>
  </sheetData>
  <mergeCells count="70">
    <mergeCell ref="K74:L74"/>
    <mergeCell ref="O5:Q5"/>
    <mergeCell ref="E10:J10"/>
    <mergeCell ref="C20:C21"/>
    <mergeCell ref="O4:Q4"/>
    <mergeCell ref="E20:E21"/>
    <mergeCell ref="E9:J9"/>
    <mergeCell ref="B44:D44"/>
    <mergeCell ref="B53:D53"/>
    <mergeCell ref="F66:H66"/>
    <mergeCell ref="F20:F21"/>
    <mergeCell ref="E6:J6"/>
    <mergeCell ref="O16:Q16"/>
    <mergeCell ref="B76:H76"/>
    <mergeCell ref="K79:L79"/>
    <mergeCell ref="E11:J11"/>
    <mergeCell ref="B79:H79"/>
    <mergeCell ref="B49:D49"/>
    <mergeCell ref="B75:H75"/>
    <mergeCell ref="O12:Q12"/>
    <mergeCell ref="C41:C42"/>
    <mergeCell ref="K72:L72"/>
    <mergeCell ref="D41:D42"/>
    <mergeCell ref="K76:L76"/>
    <mergeCell ref="F56:H56"/>
    <mergeCell ref="O17:Q17"/>
    <mergeCell ref="J43:L43"/>
    <mergeCell ref="O8:Q8"/>
    <mergeCell ref="J56:L56"/>
    <mergeCell ref="K75:L75"/>
    <mergeCell ref="B51:D51"/>
    <mergeCell ref="O11:Q11"/>
    <mergeCell ref="E7:J7"/>
    <mergeCell ref="M49:P49"/>
    <mergeCell ref="J51:L51"/>
    <mergeCell ref="O14:Q14"/>
    <mergeCell ref="K77:L77"/>
    <mergeCell ref="B45:D45"/>
    <mergeCell ref="B71:H71"/>
    <mergeCell ref="B50:D50"/>
    <mergeCell ref="O13:Q13"/>
    <mergeCell ref="B70:H70"/>
    <mergeCell ref="K71:L71"/>
    <mergeCell ref="O7:Q7"/>
    <mergeCell ref="B20:B21"/>
    <mergeCell ref="E12:J12"/>
    <mergeCell ref="R21:T22"/>
    <mergeCell ref="E13:J18"/>
    <mergeCell ref="D20:D21"/>
    <mergeCell ref="K70:L70"/>
    <mergeCell ref="J44:L44"/>
    <mergeCell ref="B47:D47"/>
    <mergeCell ref="O10:Q10"/>
    <mergeCell ref="N69:P77"/>
    <mergeCell ref="B54:D54"/>
    <mergeCell ref="K73:L73"/>
    <mergeCell ref="B2:C3"/>
    <mergeCell ref="O6:Q6"/>
    <mergeCell ref="B46:D46"/>
    <mergeCell ref="O18:Q18"/>
    <mergeCell ref="E5:J5"/>
    <mergeCell ref="O9:Q9"/>
    <mergeCell ref="E8:J8"/>
    <mergeCell ref="B41:B42"/>
    <mergeCell ref="B52:D52"/>
    <mergeCell ref="B43:D43"/>
    <mergeCell ref="E4:J4"/>
    <mergeCell ref="K69:L69"/>
    <mergeCell ref="B48:D48"/>
    <mergeCell ref="K78:L78"/>
  </mergeCells>
  <printOptions horizontalCentered="1" verticalCentered="1"/>
  <pageMargins left="0.3" right="0.3" top="0.3" bottom="0.3" header="0.3" footer="0.3"/>
  <pageSetup orientation="landscape" scale="46" cellComments="atEn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fs9873</dc:creator>
  <dcterms:created xmlns:dcterms="http://purl.org/dc/terms/" xmlns:xsi="http://www.w3.org/2001/XMLSchema-instance" xsi:type="dcterms:W3CDTF">2004-07-06T17:58:15Z</dcterms:created>
  <dcterms:modified xmlns:dcterms="http://purl.org/dc/terms/" xmlns:xsi="http://www.w3.org/2001/XMLSchema-instance" xsi:type="dcterms:W3CDTF">2026-03-10T08:05:53Z</dcterms:modified>
  <cp:lastModifiedBy>Di Falco Giuseppe (FCA)</cp:lastModifiedBy>
  <cp:lastPrinted>2011-07-21T21:18:12Z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0x010100A6CE8E1B1407074C849CBFA419921253</vt:lpwstr>
  </property>
  <property name="docIndexRef" fmtid="{D5CDD505-2E9C-101B-9397-08002B2CF9AE}" pid="3">
    <vt:lpwstr xmlns:vt="http://schemas.openxmlformats.org/officeDocument/2006/docPropsVTypes">9b195d6b-416c-4c92-a9ae-33041943f3c6</vt:lpwstr>
  </property>
  <property name="bjSaver" fmtid="{D5CDD505-2E9C-101B-9397-08002B2CF9AE}" pid="4">
    <vt:lpwstr xmlns:vt="http://schemas.openxmlformats.org/officeDocument/2006/docPropsVTypes">DNLGZKOLcjLDoAMlltNj6KU8CgZ21GXr</vt:lpwstr>
  </property>
  <property name="bjDocumentSecurityLabel" fmtid="{D5CDD505-2E9C-101B-9397-08002B2CF9AE}" pid="5">
    <vt:lpwstr xmlns:vt="http://schemas.openxmlformats.org/officeDocument/2006/docPropsVTypes">Company Classification: PUBLIC</vt:lpwstr>
  </property>
  <property name="bjProjectProperty" fmtid="{D5CDD505-2E9C-101B-9397-08002B2CF9AE}" pid="6">
    <vt:lpwstr xmlns:vt="http://schemas.openxmlformats.org/officeDocument/2006/docPropsVTypes">COMPANY: PUBLIC</vt:lpwstr>
  </property>
  <property name="bjDocumentLabelXML" fmtid="{D5CDD505-2E9C-101B-9397-08002B2CF9AE}" pid="7">
    <vt:lpwstr xmlns:vt="http://schemas.openxmlformats.org/officeDocument/2006/docPropsVTypes">&lt;?xml version="1.0" encoding="us-ascii"?&gt;&lt;sisl xmlns:xsi="http://www.w3.org/2001/XMLSchema-instance" xmlns:xsd="http://www.w3.org/2001/XMLSchema" sislVersion="0" policy="18fbfd49-c8e6-4618-a77f-5ef25245836c" origin="userSelected" xmlns="http://www.boldonj</vt:lpwstr>
  </property>
  <property name="bjDocumentLabelXML-0" fmtid="{D5CDD505-2E9C-101B-9397-08002B2CF9AE}" pid="8">
    <vt:lpwstr xmlns:vt="http://schemas.openxmlformats.org/officeDocument/2006/docPropsVTypes">ames.com/2008/01/sie/internal/label"&gt;&lt;element uid="1239ecc3-00e0-482b-a8a4-82e46943bfcc" value="" /&gt;&lt;/sisl&gt;</vt:lpwstr>
  </property>
  <property name="LabelledBy:" fmtid="{D5CDD505-2E9C-101B-9397-08002B2CF9AE}" pid="9">
    <vt:lpwstr xmlns:vt="http://schemas.openxmlformats.org/officeDocument/2006/docPropsVTypes">F32986A,17/06/2020 08:59:55,PUBLIC</vt:lpwstr>
  </property>
</Properties>
</file>